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2FE5FF9-FBDA-4F1C-B27E-631377AC33BF}" xr6:coauthVersionLast="47" xr6:coauthVersionMax="47" xr10:uidLastSave="{00000000-0000-0000-0000-000000000000}"/>
  <bookViews>
    <workbookView xWindow="-108" yWindow="-108" windowWidth="23256" windowHeight="12456" xr2:uid="{DAA63B9F-8FFB-439F-A830-1F52AB4B64EB}"/>
  </bookViews>
  <sheets>
    <sheet name="Sheet1" sheetId="2" r:id="rId1"/>
    <sheet name="BDM Project Forecast_Sales (1)" sheetId="1" r:id="rId2"/>
  </sheets>
  <calcPr calcId="0"/>
</workbook>
</file>

<file path=xl/calcChain.xml><?xml version="1.0" encoding="utf-8"?>
<calcChain xmlns="http://schemas.openxmlformats.org/spreadsheetml/2006/main">
  <c r="C63" i="2" l="1"/>
  <c r="C75" i="2"/>
  <c r="C87" i="2"/>
  <c r="H5" i="2"/>
  <c r="C90" i="2"/>
  <c r="C64" i="2"/>
  <c r="C76" i="2"/>
  <c r="C88" i="2"/>
  <c r="H6" i="2"/>
  <c r="C78" i="2"/>
  <c r="C79" i="2"/>
  <c r="C65" i="2"/>
  <c r="C77" i="2"/>
  <c r="C89" i="2"/>
  <c r="H7" i="2"/>
  <c r="C66" i="2"/>
  <c r="C91" i="2"/>
  <c r="C68" i="2"/>
  <c r="C69" i="2"/>
  <c r="C81" i="2"/>
  <c r="C93" i="2"/>
  <c r="C70" i="2"/>
  <c r="C82" i="2"/>
  <c r="C83" i="2"/>
  <c r="C84" i="2"/>
  <c r="H2" i="2"/>
  <c r="C71" i="2"/>
  <c r="C72" i="2"/>
  <c r="C73" i="2"/>
  <c r="C85" i="2"/>
  <c r="H3" i="2"/>
  <c r="H8" i="2"/>
  <c r="C80" i="2"/>
  <c r="C74" i="2"/>
  <c r="C86" i="2"/>
  <c r="H4" i="2"/>
  <c r="C67" i="2"/>
  <c r="C92" i="2"/>
  <c r="D92" i="2" l="1"/>
  <c r="E73" i="2"/>
  <c r="D70" i="2"/>
  <c r="E66" i="2"/>
  <c r="E88" i="2"/>
  <c r="E63" i="2"/>
  <c r="D66" i="2"/>
  <c r="D63" i="2"/>
  <c r="E67" i="2"/>
  <c r="D93" i="2"/>
  <c r="E89" i="2"/>
  <c r="D67" i="2"/>
  <c r="E93" i="2"/>
  <c r="D76" i="2"/>
  <c r="D81" i="2"/>
  <c r="D64" i="2"/>
  <c r="D77" i="2"/>
  <c r="D69" i="2"/>
  <c r="E90" i="2"/>
  <c r="E69" i="2"/>
  <c r="D68" i="2"/>
  <c r="E80" i="2"/>
  <c r="D79" i="2"/>
  <c r="E85" i="2"/>
  <c r="E75" i="2"/>
  <c r="E91" i="2"/>
  <c r="E92" i="2"/>
  <c r="D73" i="2"/>
  <c r="E70" i="2"/>
  <c r="D88" i="2"/>
  <c r="D72" i="2"/>
  <c r="E76" i="2"/>
  <c r="E72" i="2"/>
  <c r="D89" i="2"/>
  <c r="E86" i="2"/>
  <c r="E71" i="2"/>
  <c r="E77" i="2"/>
  <c r="D86" i="2"/>
  <c r="E81" i="2"/>
  <c r="E64" i="2"/>
  <c r="E74" i="2"/>
  <c r="D65" i="2"/>
  <c r="D74" i="2"/>
  <c r="E84" i="2"/>
  <c r="E65" i="2"/>
  <c r="D90" i="2"/>
  <c r="D80" i="2"/>
  <c r="E83" i="2"/>
  <c r="E87" i="2"/>
  <c r="D83" i="2"/>
  <c r="D87" i="2"/>
  <c r="D91" i="2"/>
  <c r="D85" i="2"/>
  <c r="D75" i="2"/>
  <c r="D71" i="2"/>
  <c r="E79" i="2"/>
  <c r="E68" i="2"/>
  <c r="D82" i="2"/>
  <c r="E82" i="2"/>
  <c r="D84" i="2"/>
  <c r="E78" i="2"/>
  <c r="D78" i="2"/>
</calcChain>
</file>

<file path=xl/sharedStrings.xml><?xml version="1.0" encoding="utf-8"?>
<sst xmlns="http://schemas.openxmlformats.org/spreadsheetml/2006/main" count="16" uniqueCount="14">
  <si>
    <t>Date</t>
  </si>
  <si>
    <t>Sales/DAY</t>
  </si>
  <si>
    <t>Forecast(Sales/DAY)</t>
  </si>
  <si>
    <t>Lower Confidence Bound(Sales/DAY)</t>
  </si>
  <si>
    <t>Upper Confidence Bound(Sales/DAY)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</si>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</sst>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4" formatCode="#,##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Sales/DAY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Sheet1!$B$2:$B$93</c:f>
              <c:numCache>
                <c:formatCode>General</c:formatCode>
                <c:ptCount val="92"/>
                <c:pt idx="0">
                  <c:v>338</c:v>
                </c:pt>
                <c:pt idx="1">
                  <c:v>340</c:v>
                </c:pt>
                <c:pt idx="2">
                  <c:v>279</c:v>
                </c:pt>
                <c:pt idx="3">
                  <c:v>286</c:v>
                </c:pt>
                <c:pt idx="4">
                  <c:v>316</c:v>
                </c:pt>
                <c:pt idx="5">
                  <c:v>323</c:v>
                </c:pt>
                <c:pt idx="6">
                  <c:v>322</c:v>
                </c:pt>
                <c:pt idx="7">
                  <c:v>284</c:v>
                </c:pt>
                <c:pt idx="8">
                  <c:v>268</c:v>
                </c:pt>
                <c:pt idx="9">
                  <c:v>327</c:v>
                </c:pt>
                <c:pt idx="10">
                  <c:v>424</c:v>
                </c:pt>
                <c:pt idx="11">
                  <c:v>357</c:v>
                </c:pt>
                <c:pt idx="12">
                  <c:v>376</c:v>
                </c:pt>
                <c:pt idx="13">
                  <c:v>281</c:v>
                </c:pt>
                <c:pt idx="14">
                  <c:v>258</c:v>
                </c:pt>
                <c:pt idx="15">
                  <c:v>391</c:v>
                </c:pt>
                <c:pt idx="16">
                  <c:v>238</c:v>
                </c:pt>
                <c:pt idx="17">
                  <c:v>305</c:v>
                </c:pt>
                <c:pt idx="18">
                  <c:v>367</c:v>
                </c:pt>
                <c:pt idx="19">
                  <c:v>287</c:v>
                </c:pt>
                <c:pt idx="20">
                  <c:v>357</c:v>
                </c:pt>
                <c:pt idx="21">
                  <c:v>303</c:v>
                </c:pt>
                <c:pt idx="22">
                  <c:v>403</c:v>
                </c:pt>
                <c:pt idx="23">
                  <c:v>283</c:v>
                </c:pt>
                <c:pt idx="24">
                  <c:v>320</c:v>
                </c:pt>
                <c:pt idx="25">
                  <c:v>330</c:v>
                </c:pt>
                <c:pt idx="26">
                  <c:v>288</c:v>
                </c:pt>
                <c:pt idx="27">
                  <c:v>256</c:v>
                </c:pt>
                <c:pt idx="28">
                  <c:v>258</c:v>
                </c:pt>
                <c:pt idx="29">
                  <c:v>268</c:v>
                </c:pt>
                <c:pt idx="30">
                  <c:v>328</c:v>
                </c:pt>
                <c:pt idx="31">
                  <c:v>280</c:v>
                </c:pt>
                <c:pt idx="32">
                  <c:v>266</c:v>
                </c:pt>
                <c:pt idx="33">
                  <c:v>351</c:v>
                </c:pt>
                <c:pt idx="34">
                  <c:v>389</c:v>
                </c:pt>
                <c:pt idx="35">
                  <c:v>300</c:v>
                </c:pt>
                <c:pt idx="36">
                  <c:v>414</c:v>
                </c:pt>
                <c:pt idx="37">
                  <c:v>268.5</c:v>
                </c:pt>
                <c:pt idx="38">
                  <c:v>276</c:v>
                </c:pt>
                <c:pt idx="39">
                  <c:v>317</c:v>
                </c:pt>
                <c:pt idx="40">
                  <c:v>342</c:v>
                </c:pt>
                <c:pt idx="41">
                  <c:v>287</c:v>
                </c:pt>
                <c:pt idx="42">
                  <c:v>284</c:v>
                </c:pt>
                <c:pt idx="43">
                  <c:v>315.5</c:v>
                </c:pt>
                <c:pt idx="44">
                  <c:v>280</c:v>
                </c:pt>
                <c:pt idx="45">
                  <c:v>375</c:v>
                </c:pt>
                <c:pt idx="46">
                  <c:v>312</c:v>
                </c:pt>
                <c:pt idx="47">
                  <c:v>298</c:v>
                </c:pt>
                <c:pt idx="48">
                  <c:v>310.5</c:v>
                </c:pt>
                <c:pt idx="49">
                  <c:v>292</c:v>
                </c:pt>
                <c:pt idx="50">
                  <c:v>308</c:v>
                </c:pt>
                <c:pt idx="51">
                  <c:v>254</c:v>
                </c:pt>
                <c:pt idx="52">
                  <c:v>339</c:v>
                </c:pt>
                <c:pt idx="53">
                  <c:v>270</c:v>
                </c:pt>
                <c:pt idx="54">
                  <c:v>238</c:v>
                </c:pt>
                <c:pt idx="55">
                  <c:v>239</c:v>
                </c:pt>
                <c:pt idx="56">
                  <c:v>363</c:v>
                </c:pt>
                <c:pt idx="57">
                  <c:v>305</c:v>
                </c:pt>
                <c:pt idx="58">
                  <c:v>247</c:v>
                </c:pt>
                <c:pt idx="59">
                  <c:v>265</c:v>
                </c:pt>
                <c:pt idx="60">
                  <c:v>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8-4CD3-BC79-8DCD443BAB1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Forecast(Sales/DAY)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45752</c:v>
                </c:pt>
                <c:pt idx="36">
                  <c:v>45753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45759</c:v>
                </c:pt>
                <c:pt idx="43">
                  <c:v>45760</c:v>
                </c:pt>
                <c:pt idx="44">
                  <c:v>45761</c:v>
                </c:pt>
                <c:pt idx="45">
                  <c:v>45762</c:v>
                </c:pt>
                <c:pt idx="46">
                  <c:v>45763</c:v>
                </c:pt>
                <c:pt idx="47">
                  <c:v>45764</c:v>
                </c:pt>
                <c:pt idx="48">
                  <c:v>45765</c:v>
                </c:pt>
                <c:pt idx="49">
                  <c:v>45766</c:v>
                </c:pt>
                <c:pt idx="50">
                  <c:v>45767</c:v>
                </c:pt>
                <c:pt idx="51">
                  <c:v>45768</c:v>
                </c:pt>
                <c:pt idx="52">
                  <c:v>45769</c:v>
                </c:pt>
                <c:pt idx="53">
                  <c:v>45770</c:v>
                </c:pt>
                <c:pt idx="54">
                  <c:v>45771</c:v>
                </c:pt>
                <c:pt idx="55">
                  <c:v>45772</c:v>
                </c:pt>
                <c:pt idx="56">
                  <c:v>45773</c:v>
                </c:pt>
                <c:pt idx="57">
                  <c:v>45774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45778</c:v>
                </c:pt>
                <c:pt idx="62">
                  <c:v>45779</c:v>
                </c:pt>
                <c:pt idx="63">
                  <c:v>45780</c:v>
                </c:pt>
                <c:pt idx="64">
                  <c:v>45781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45787</c:v>
                </c:pt>
                <c:pt idx="71">
                  <c:v>45788</c:v>
                </c:pt>
                <c:pt idx="72">
                  <c:v>45789</c:v>
                </c:pt>
                <c:pt idx="73">
                  <c:v>45790</c:v>
                </c:pt>
                <c:pt idx="74">
                  <c:v>45791</c:v>
                </c:pt>
                <c:pt idx="75">
                  <c:v>45792</c:v>
                </c:pt>
                <c:pt idx="76">
                  <c:v>45793</c:v>
                </c:pt>
                <c:pt idx="77">
                  <c:v>45794</c:v>
                </c:pt>
                <c:pt idx="78">
                  <c:v>45795</c:v>
                </c:pt>
                <c:pt idx="79">
                  <c:v>45796</c:v>
                </c:pt>
                <c:pt idx="80">
                  <c:v>45797</c:v>
                </c:pt>
                <c:pt idx="81">
                  <c:v>45798</c:v>
                </c:pt>
                <c:pt idx="82">
                  <c:v>45799</c:v>
                </c:pt>
                <c:pt idx="83">
                  <c:v>45800</c:v>
                </c:pt>
                <c:pt idx="84">
                  <c:v>45801</c:v>
                </c:pt>
                <c:pt idx="85">
                  <c:v>45802</c:v>
                </c:pt>
                <c:pt idx="86">
                  <c:v>45803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45808</c:v>
                </c:pt>
              </c:numCache>
            </c:numRef>
          </c:cat>
          <c:val>
            <c:numRef>
              <c:f>Sheet1!$C$2:$C$93</c:f>
              <c:numCache>
                <c:formatCode>General</c:formatCode>
                <c:ptCount val="92"/>
                <c:pt idx="60">
                  <c:v>411</c:v>
                </c:pt>
                <c:pt idx="61">
                  <c:v>245.46028220753593</c:v>
                </c:pt>
                <c:pt idx="62">
                  <c:v>274.50108875625284</c:v>
                </c:pt>
                <c:pt idx="63">
                  <c:v>347.60756899604445</c:v>
                </c:pt>
                <c:pt idx="64">
                  <c:v>327.20761136757557</c:v>
                </c:pt>
                <c:pt idx="65">
                  <c:v>317.18385969236937</c:v>
                </c:pt>
                <c:pt idx="66">
                  <c:v>332.2374756323635</c:v>
                </c:pt>
                <c:pt idx="67">
                  <c:v>326.58595341662698</c:v>
                </c:pt>
                <c:pt idx="68">
                  <c:v>258.24887460549036</c:v>
                </c:pt>
                <c:pt idx="69">
                  <c:v>306.30474173772581</c:v>
                </c:pt>
                <c:pt idx="70">
                  <c:v>359.40537884502231</c:v>
                </c:pt>
                <c:pt idx="71">
                  <c:v>303.62080568383897</c:v>
                </c:pt>
                <c:pt idx="72">
                  <c:v>298.07505919024277</c:v>
                </c:pt>
                <c:pt idx="73">
                  <c:v>250.74262787672185</c:v>
                </c:pt>
                <c:pt idx="74">
                  <c:v>245.36416709157407</c:v>
                </c:pt>
                <c:pt idx="75">
                  <c:v>341.80385989859911</c:v>
                </c:pt>
                <c:pt idx="76">
                  <c:v>242.70803808140786</c:v>
                </c:pt>
                <c:pt idx="77">
                  <c:v>271.74884463012478</c:v>
                </c:pt>
                <c:pt idx="78">
                  <c:v>344.85532486991639</c:v>
                </c:pt>
                <c:pt idx="79">
                  <c:v>324.4553672414475</c:v>
                </c:pt>
                <c:pt idx="80">
                  <c:v>314.43161556624131</c:v>
                </c:pt>
                <c:pt idx="81">
                  <c:v>329.48523150623544</c:v>
                </c:pt>
                <c:pt idx="82">
                  <c:v>323.83370929049892</c:v>
                </c:pt>
                <c:pt idx="83">
                  <c:v>255.49663047936232</c:v>
                </c:pt>
                <c:pt idx="84">
                  <c:v>303.5524976115978</c:v>
                </c:pt>
                <c:pt idx="85">
                  <c:v>356.65313471889425</c:v>
                </c:pt>
                <c:pt idx="86">
                  <c:v>300.8685615577109</c:v>
                </c:pt>
                <c:pt idx="87">
                  <c:v>295.32281506411471</c:v>
                </c:pt>
                <c:pt idx="88">
                  <c:v>247.99038375059379</c:v>
                </c:pt>
                <c:pt idx="89">
                  <c:v>242.61192296544601</c:v>
                </c:pt>
                <c:pt idx="90">
                  <c:v>339.05161577247105</c:v>
                </c:pt>
                <c:pt idx="91">
                  <c:v>239.9557939552798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8-4CD3-BC79-8DCD443BAB1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Bound(Sales/DAY)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45752</c:v>
                </c:pt>
                <c:pt idx="36">
                  <c:v>45753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45759</c:v>
                </c:pt>
                <c:pt idx="43">
                  <c:v>45760</c:v>
                </c:pt>
                <c:pt idx="44">
                  <c:v>45761</c:v>
                </c:pt>
                <c:pt idx="45">
                  <c:v>45762</c:v>
                </c:pt>
                <c:pt idx="46">
                  <c:v>45763</c:v>
                </c:pt>
                <c:pt idx="47">
                  <c:v>45764</c:v>
                </c:pt>
                <c:pt idx="48">
                  <c:v>45765</c:v>
                </c:pt>
                <c:pt idx="49">
                  <c:v>45766</c:v>
                </c:pt>
                <c:pt idx="50">
                  <c:v>45767</c:v>
                </c:pt>
                <c:pt idx="51">
                  <c:v>45768</c:v>
                </c:pt>
                <c:pt idx="52">
                  <c:v>45769</c:v>
                </c:pt>
                <c:pt idx="53">
                  <c:v>45770</c:v>
                </c:pt>
                <c:pt idx="54">
                  <c:v>45771</c:v>
                </c:pt>
                <c:pt idx="55">
                  <c:v>45772</c:v>
                </c:pt>
                <c:pt idx="56">
                  <c:v>45773</c:v>
                </c:pt>
                <c:pt idx="57">
                  <c:v>45774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45778</c:v>
                </c:pt>
                <c:pt idx="62">
                  <c:v>45779</c:v>
                </c:pt>
                <c:pt idx="63">
                  <c:v>45780</c:v>
                </c:pt>
                <c:pt idx="64">
                  <c:v>45781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45787</c:v>
                </c:pt>
                <c:pt idx="71">
                  <c:v>45788</c:v>
                </c:pt>
                <c:pt idx="72">
                  <c:v>45789</c:v>
                </c:pt>
                <c:pt idx="73">
                  <c:v>45790</c:v>
                </c:pt>
                <c:pt idx="74">
                  <c:v>45791</c:v>
                </c:pt>
                <c:pt idx="75">
                  <c:v>45792</c:v>
                </c:pt>
                <c:pt idx="76">
                  <c:v>45793</c:v>
                </c:pt>
                <c:pt idx="77">
                  <c:v>45794</c:v>
                </c:pt>
                <c:pt idx="78">
                  <c:v>45795</c:v>
                </c:pt>
                <c:pt idx="79">
                  <c:v>45796</c:v>
                </c:pt>
                <c:pt idx="80">
                  <c:v>45797</c:v>
                </c:pt>
                <c:pt idx="81">
                  <c:v>45798</c:v>
                </c:pt>
                <c:pt idx="82">
                  <c:v>45799</c:v>
                </c:pt>
                <c:pt idx="83">
                  <c:v>45800</c:v>
                </c:pt>
                <c:pt idx="84">
                  <c:v>45801</c:v>
                </c:pt>
                <c:pt idx="85">
                  <c:v>45802</c:v>
                </c:pt>
                <c:pt idx="86">
                  <c:v>45803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45808</c:v>
                </c:pt>
              </c:numCache>
            </c:numRef>
          </c:cat>
          <c:val>
            <c:numRef>
              <c:f>Sheet1!$D$2:$D$93</c:f>
              <c:numCache>
                <c:formatCode>General</c:formatCode>
                <c:ptCount val="92"/>
                <c:pt idx="60" formatCode="0.00">
                  <c:v>411</c:v>
                </c:pt>
                <c:pt idx="61" formatCode="0.00">
                  <c:v>158.87508553860488</c:v>
                </c:pt>
                <c:pt idx="62" formatCode="0.00">
                  <c:v>187.22041887320813</c:v>
                </c:pt>
                <c:pt idx="63" formatCode="0.00">
                  <c:v>259.6260588798811</c:v>
                </c:pt>
                <c:pt idx="64" formatCode="0.00">
                  <c:v>238.51993670275755</c:v>
                </c:pt>
                <c:pt idx="65" formatCode="0.00">
                  <c:v>227.78473847397183</c:v>
                </c:pt>
                <c:pt idx="66" formatCode="0.00">
                  <c:v>242.12166776370748</c:v>
                </c:pt>
                <c:pt idx="67" formatCode="0.00">
                  <c:v>235.74826029839807</c:v>
                </c:pt>
                <c:pt idx="68" formatCode="0.00">
                  <c:v>166.68413871728211</c:v>
                </c:pt>
                <c:pt idx="69" formatCode="0.00">
                  <c:v>214.00784621290077</c:v>
                </c:pt>
                <c:pt idx="70" formatCode="0.00">
                  <c:v>266.37124703973529</c:v>
                </c:pt>
                <c:pt idx="71" formatCode="0.00">
                  <c:v>209.84440074102278</c:v>
                </c:pt>
                <c:pt idx="72" formatCode="0.00">
                  <c:v>203.55138359931158</c:v>
                </c:pt>
                <c:pt idx="73" formatCode="0.00">
                  <c:v>155.46672302970518</c:v>
                </c:pt>
                <c:pt idx="74" formatCode="0.00">
                  <c:v>149.33111283635367</c:v>
                </c:pt>
                <c:pt idx="75" formatCode="0.00">
                  <c:v>245.0087740898806</c:v>
                </c:pt>
                <c:pt idx="76" formatCode="0.00">
                  <c:v>145.13520338982266</c:v>
                </c:pt>
                <c:pt idx="77" formatCode="0.00">
                  <c:v>173.40441162659562</c:v>
                </c:pt>
                <c:pt idx="78" formatCode="0.00">
                  <c:v>245.73452190827621</c:v>
                </c:pt>
                <c:pt idx="79" formatCode="0.00">
                  <c:v>224.55345887795355</c:v>
                </c:pt>
                <c:pt idx="80" formatCode="0.00">
                  <c:v>213.74390210774061</c:v>
                </c:pt>
                <c:pt idx="81" formatCode="0.00">
                  <c:v>228.00704855909913</c:v>
                </c:pt>
                <c:pt idx="82" formatCode="0.00">
                  <c:v>221.56042731072441</c:v>
                </c:pt>
                <c:pt idx="83" formatCode="0.00">
                  <c:v>152.42365432421425</c:v>
                </c:pt>
                <c:pt idx="84" formatCode="0.00">
                  <c:v>199.67526609313276</c:v>
                </c:pt>
                <c:pt idx="85" formatCode="0.00">
                  <c:v>251.96712015968853</c:v>
                </c:pt>
                <c:pt idx="86" formatCode="0.00">
                  <c:v>195.36926934908698</c:v>
                </c:pt>
                <c:pt idx="87" formatCode="0.00">
                  <c:v>189.00578322713898</c:v>
                </c:pt>
                <c:pt idx="88" formatCode="0.00">
                  <c:v>140.85118250009691</c:v>
                </c:pt>
                <c:pt idx="89" formatCode="0.00">
                  <c:v>134.64615427729626</c:v>
                </c:pt>
                <c:pt idx="90" formatCode="0.00">
                  <c:v>230.25491295431181</c:v>
                </c:pt>
                <c:pt idx="91" formatCode="0.00">
                  <c:v>130.31311975648646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8-4CD3-BC79-8DCD443BAB1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Bound(Sales/DAY)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Sheet1!$A$2:$A$93</c:f>
              <c:numCache>
                <c:formatCode>m/d/yyyy</c:formatCode>
                <c:ptCount val="92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  <c:pt idx="31">
                  <c:v>45748</c:v>
                </c:pt>
                <c:pt idx="32">
                  <c:v>45749</c:v>
                </c:pt>
                <c:pt idx="33">
                  <c:v>45750</c:v>
                </c:pt>
                <c:pt idx="34">
                  <c:v>45751</c:v>
                </c:pt>
                <c:pt idx="35">
                  <c:v>45752</c:v>
                </c:pt>
                <c:pt idx="36">
                  <c:v>45753</c:v>
                </c:pt>
                <c:pt idx="37">
                  <c:v>45754</c:v>
                </c:pt>
                <c:pt idx="38">
                  <c:v>45755</c:v>
                </c:pt>
                <c:pt idx="39">
                  <c:v>45756</c:v>
                </c:pt>
                <c:pt idx="40">
                  <c:v>45757</c:v>
                </c:pt>
                <c:pt idx="41">
                  <c:v>45758</c:v>
                </c:pt>
                <c:pt idx="42">
                  <c:v>45759</c:v>
                </c:pt>
                <c:pt idx="43">
                  <c:v>45760</c:v>
                </c:pt>
                <c:pt idx="44">
                  <c:v>45761</c:v>
                </c:pt>
                <c:pt idx="45">
                  <c:v>45762</c:v>
                </c:pt>
                <c:pt idx="46">
                  <c:v>45763</c:v>
                </c:pt>
                <c:pt idx="47">
                  <c:v>45764</c:v>
                </c:pt>
                <c:pt idx="48">
                  <c:v>45765</c:v>
                </c:pt>
                <c:pt idx="49">
                  <c:v>45766</c:v>
                </c:pt>
                <c:pt idx="50">
                  <c:v>45767</c:v>
                </c:pt>
                <c:pt idx="51">
                  <c:v>45768</c:v>
                </c:pt>
                <c:pt idx="52">
                  <c:v>45769</c:v>
                </c:pt>
                <c:pt idx="53">
                  <c:v>45770</c:v>
                </c:pt>
                <c:pt idx="54">
                  <c:v>45771</c:v>
                </c:pt>
                <c:pt idx="55">
                  <c:v>45772</c:v>
                </c:pt>
                <c:pt idx="56">
                  <c:v>45773</c:v>
                </c:pt>
                <c:pt idx="57">
                  <c:v>45774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45778</c:v>
                </c:pt>
                <c:pt idx="62">
                  <c:v>45779</c:v>
                </c:pt>
                <c:pt idx="63">
                  <c:v>45780</c:v>
                </c:pt>
                <c:pt idx="64">
                  <c:v>45781</c:v>
                </c:pt>
                <c:pt idx="65">
                  <c:v>45782</c:v>
                </c:pt>
                <c:pt idx="66">
                  <c:v>45783</c:v>
                </c:pt>
                <c:pt idx="67">
                  <c:v>45784</c:v>
                </c:pt>
                <c:pt idx="68">
                  <c:v>45785</c:v>
                </c:pt>
                <c:pt idx="69">
                  <c:v>45786</c:v>
                </c:pt>
                <c:pt idx="70">
                  <c:v>45787</c:v>
                </c:pt>
                <c:pt idx="71">
                  <c:v>45788</c:v>
                </c:pt>
                <c:pt idx="72">
                  <c:v>45789</c:v>
                </c:pt>
                <c:pt idx="73">
                  <c:v>45790</c:v>
                </c:pt>
                <c:pt idx="74">
                  <c:v>45791</c:v>
                </c:pt>
                <c:pt idx="75">
                  <c:v>45792</c:v>
                </c:pt>
                <c:pt idx="76">
                  <c:v>45793</c:v>
                </c:pt>
                <c:pt idx="77">
                  <c:v>45794</c:v>
                </c:pt>
                <c:pt idx="78">
                  <c:v>45795</c:v>
                </c:pt>
                <c:pt idx="79">
                  <c:v>45796</c:v>
                </c:pt>
                <c:pt idx="80">
                  <c:v>45797</c:v>
                </c:pt>
                <c:pt idx="81">
                  <c:v>45798</c:v>
                </c:pt>
                <c:pt idx="82">
                  <c:v>45799</c:v>
                </c:pt>
                <c:pt idx="83">
                  <c:v>45800</c:v>
                </c:pt>
                <c:pt idx="84">
                  <c:v>45801</c:v>
                </c:pt>
                <c:pt idx="85">
                  <c:v>45802</c:v>
                </c:pt>
                <c:pt idx="86">
                  <c:v>45803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45808</c:v>
                </c:pt>
              </c:numCache>
            </c:numRef>
          </c:cat>
          <c:val>
            <c:numRef>
              <c:f>Sheet1!$E$2:$E$93</c:f>
              <c:numCache>
                <c:formatCode>General</c:formatCode>
                <c:ptCount val="92"/>
                <c:pt idx="60" formatCode="0.00">
                  <c:v>411</c:v>
                </c:pt>
                <c:pt idx="61" formatCode="0.00">
                  <c:v>332.04547887646697</c:v>
                </c:pt>
                <c:pt idx="62" formatCode="0.00">
                  <c:v>361.78175863929755</c:v>
                </c:pt>
                <c:pt idx="63" formatCode="0.00">
                  <c:v>435.5890791122078</c:v>
                </c:pt>
                <c:pt idx="64" formatCode="0.00">
                  <c:v>415.89528603239359</c:v>
                </c:pt>
                <c:pt idx="65" formatCode="0.00">
                  <c:v>406.58298091076688</c:v>
                </c:pt>
                <c:pt idx="66" formatCode="0.00">
                  <c:v>422.35328350101952</c:v>
                </c:pt>
                <c:pt idx="67" formatCode="0.00">
                  <c:v>417.42364653485589</c:v>
                </c:pt>
                <c:pt idx="68" formatCode="0.00">
                  <c:v>349.8136104936986</c:v>
                </c:pt>
                <c:pt idx="69" formatCode="0.00">
                  <c:v>398.60163726255087</c:v>
                </c:pt>
                <c:pt idx="70" formatCode="0.00">
                  <c:v>452.43951065030933</c:v>
                </c:pt>
                <c:pt idx="71" formatCode="0.00">
                  <c:v>397.39721062665512</c:v>
                </c:pt>
                <c:pt idx="72" formatCode="0.00">
                  <c:v>392.59873478117396</c:v>
                </c:pt>
                <c:pt idx="73" formatCode="0.00">
                  <c:v>346.01853272373853</c:v>
                </c:pt>
                <c:pt idx="74" formatCode="0.00">
                  <c:v>341.39722134679448</c:v>
                </c:pt>
                <c:pt idx="75" formatCode="0.00">
                  <c:v>438.59894570731763</c:v>
                </c:pt>
                <c:pt idx="76" formatCode="0.00">
                  <c:v>340.28087277299306</c:v>
                </c:pt>
                <c:pt idx="77" formatCode="0.00">
                  <c:v>370.09327763365394</c:v>
                </c:pt>
                <c:pt idx="78" formatCode="0.00">
                  <c:v>443.9761278315566</c:v>
                </c:pt>
                <c:pt idx="79" formatCode="0.00">
                  <c:v>424.35727560494149</c:v>
                </c:pt>
                <c:pt idx="80" formatCode="0.00">
                  <c:v>415.119329024742</c:v>
                </c:pt>
                <c:pt idx="81" formatCode="0.00">
                  <c:v>430.96341445337174</c:v>
                </c:pt>
                <c:pt idx="82" formatCode="0.00">
                  <c:v>426.1069912702734</c:v>
                </c:pt>
                <c:pt idx="83" formatCode="0.00">
                  <c:v>358.56960663451036</c:v>
                </c:pt>
                <c:pt idx="84" formatCode="0.00">
                  <c:v>407.42972913006281</c:v>
                </c:pt>
                <c:pt idx="85" formatCode="0.00">
                  <c:v>461.33914927809997</c:v>
                </c:pt>
                <c:pt idx="86" formatCode="0.00">
                  <c:v>406.36785376633486</c:v>
                </c:pt>
                <c:pt idx="87" formatCode="0.00">
                  <c:v>401.63984690109044</c:v>
                </c:pt>
                <c:pt idx="88" formatCode="0.00">
                  <c:v>355.12958500109067</c:v>
                </c:pt>
                <c:pt idx="89" formatCode="0.00">
                  <c:v>350.57769165359576</c:v>
                </c:pt>
                <c:pt idx="90" formatCode="0.00">
                  <c:v>447.8483185906303</c:v>
                </c:pt>
                <c:pt idx="91" formatCode="0.00">
                  <c:v>349.59846815407315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8-4CD3-BC79-8DCD443B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291856"/>
        <c:axId val="459293296"/>
      </c:lineChart>
      <c:catAx>
        <c:axId val="45929185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93296"/>
        <c:crosses val="autoZero"/>
        <c:auto val="1"/>
        <c:lblAlgn val="ctr"/>
        <c:lblOffset val="100"/>
        <c:noMultiLvlLbl val="0"/>
      </c:catAx>
      <c:valAx>
        <c:axId val="4592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9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1935480</xdr:colOff>
      <xdr:row>5</xdr:row>
      <xdr:rowOff>41910</xdr:rowOff>
    </xdr:from>
    <xdr:to>
      <xdr:col>13</xdr:col>
      <xdr:colOff>200025</xdr:colOff>
      <xdr:row>25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55546-0FA3-744B-F8CB-ECE227099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17515-2E19-4810-9941-F988DCC07234}" name="Table1" displayName="Table1" ref="A1:E93" totalsRowShown="0">
  <autoFilter ref="A1:E93" xr:uid="{24A17515-2E19-4810-9941-F988DCC07234}"/>
  <tableColumns count="5">
    <tableColumn id="1" xr3:uid="{FD63BEA9-B724-4DC0-8537-85F2ECBBE6CD}" name="Date" dataDxfId="3"/>
    <tableColumn id="2" xr3:uid="{56714D48-6E60-40BC-A5C2-B40EF1F07666}" name="Sales/DAY"/>
    <tableColumn id="3" xr3:uid="{D79F945E-96D7-4500-B037-C1F212DF5609}" name="Forecast(Sales/DAY)">
      <calculatedColumnFormula>_xlfn.FORECAST.ETS(A2,$B$2:$B$62,$A$2:$A$62,15,1)</calculatedColumnFormula>
    </tableColumn>
    <tableColumn id="4" xr3:uid="{571841B0-A2DB-4D2D-AFBE-902C8D97732B}" name="Lower Confidence Bound(Sales/DAY)" dataDxfId="2">
      <calculatedColumnFormula>C2-_xlfn.FORECAST.ETS.CONFINT(A2,$B$2:$B$62,$A$2:$A$62,0.95,15,1)</calculatedColumnFormula>
    </tableColumn>
    <tableColumn id="5" xr3:uid="{70178DDE-CF9E-4B8A-A9A0-C7FAEF5CC925}" name="Upper Confidence Bound(Sales/DAY)" dataDxfId="1">
      <calculatedColumnFormula>C2+_xlfn.FORECAST.ETS.CONFINT(A2,$B$2:$B$62,$A$2:$A$62,0.95,15,1)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79C2B5-8E1B-4344-8EF2-16937D437787}" name="Table2" displayName="Table2" ref="G1:H8" totalsRowShown="0">
  <autoFilter ref="G1:H8" xr:uid="{8579C2B5-8E1B-4344-8EF2-16937D437787}"/>
  <tableColumns count="2">
    <tableColumn id="1" xr3:uid="{47E53233-569E-48B2-A378-FDB517B132AC}" name="Statistic"/>
    <tableColumn id="2" xr3:uid="{81EF427F-3AC3-4C98-8496-F8BE8C0FAD69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153C-A22B-4E1F-8F08-D71641F0F22F}">
  <dimension ref="A1:H93"/>
  <sheetViews>
    <sheetView tabSelected="1" workbookViewId="0"/>
  </sheetViews>
  <sheetFormatPr defaultRowHeight="14.4" x14ac:dyDescent="0.3"/>
  <cols>
    <col min="1" max="1" width="10.33203125" bestFit="1" customWidth="1"/>
    <col min="2" max="2" width="11.44140625" customWidth="1"/>
    <col min="3" max="3" width="20" customWidth="1"/>
    <col min="4" max="4" width="33" customWidth="1"/>
    <col min="5" max="5" width="33.21875" customWidth="1"/>
    <col min="7" max="7" width="10" customWidth="1"/>
    <col min="8" max="8" width="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3">
      <c r="A2" s="1">
        <v>45717</v>
      </c>
      <c r="B2">
        <v>338</v>
      </c>
      <c r="G2" t="s">
        <v>7</v>
      </c>
      <c r="H2" s="3">
        <f>_xlfn.FORECAST.ETS.STAT($B$2:$B$62,$A$2:$A$62,1,15,1)</f>
        <v>0.126</v>
      </c>
    </row>
    <row r="3" spans="1:8" x14ac:dyDescent="0.3">
      <c r="A3" s="1">
        <v>45718</v>
      </c>
      <c r="B3">
        <v>340</v>
      </c>
      <c r="G3" t="s">
        <v>8</v>
      </c>
      <c r="H3" s="3">
        <f>_xlfn.FORECAST.ETS.STAT($B$2:$B$62,$A$2:$A$62,2,15,1)</f>
        <v>1E-3</v>
      </c>
    </row>
    <row r="4" spans="1:8" x14ac:dyDescent="0.3">
      <c r="A4" s="1">
        <v>45719</v>
      </c>
      <c r="B4">
        <v>279</v>
      </c>
      <c r="G4" t="s">
        <v>9</v>
      </c>
      <c r="H4" s="3">
        <f>_xlfn.FORECAST.ETS.STAT($B$2:$B$62,$A$2:$A$62,3,15,1)</f>
        <v>1E-3</v>
      </c>
    </row>
    <row r="5" spans="1:8" x14ac:dyDescent="0.3">
      <c r="A5" s="1">
        <v>45720</v>
      </c>
      <c r="B5">
        <v>286</v>
      </c>
      <c r="G5" t="s">
        <v>10</v>
      </c>
      <c r="H5" s="3">
        <f>_xlfn.FORECAST.ETS.STAT($B$2:$B$62,$A$2:$A$62,4,15,1)</f>
        <v>0.73857081013386683</v>
      </c>
    </row>
    <row r="6" spans="1:8" x14ac:dyDescent="0.3">
      <c r="A6" s="1">
        <v>45721</v>
      </c>
      <c r="B6">
        <v>316</v>
      </c>
      <c r="G6" t="s">
        <v>11</v>
      </c>
      <c r="H6" s="3">
        <f>_xlfn.FORECAST.ETS.STAT($B$2:$B$62,$A$2:$A$62,5,15,1)</f>
        <v>0.13164240843919225</v>
      </c>
    </row>
    <row r="7" spans="1:8" x14ac:dyDescent="0.3">
      <c r="A7" s="1">
        <v>45722</v>
      </c>
      <c r="B7">
        <v>323</v>
      </c>
      <c r="G7" t="s">
        <v>12</v>
      </c>
      <c r="H7" s="3">
        <f>_xlfn.FORECAST.ETS.STAT($B$2:$B$62,$A$2:$A$62,6,15,1)</f>
        <v>39.841792035554704</v>
      </c>
    </row>
    <row r="8" spans="1:8" x14ac:dyDescent="0.3">
      <c r="A8" s="1">
        <v>45723</v>
      </c>
      <c r="B8">
        <v>322</v>
      </c>
      <c r="G8" t="s">
        <v>13</v>
      </c>
      <c r="H8" s="3">
        <f>_xlfn.FORECAST.ETS.STAT($B$2:$B$62,$A$2:$A$62,7,15,1)</f>
        <v>49.772798516685242</v>
      </c>
    </row>
    <row r="9" spans="1:8" x14ac:dyDescent="0.3">
      <c r="A9" s="1">
        <v>45724</v>
      </c>
      <c r="B9">
        <v>284</v>
      </c>
    </row>
    <row r="10" spans="1:8" x14ac:dyDescent="0.3">
      <c r="A10" s="1">
        <v>45725</v>
      </c>
      <c r="B10">
        <v>268</v>
      </c>
    </row>
    <row r="11" spans="1:8" x14ac:dyDescent="0.3">
      <c r="A11" s="1">
        <v>45726</v>
      </c>
      <c r="B11">
        <v>327</v>
      </c>
    </row>
    <row r="12" spans="1:8" x14ac:dyDescent="0.3">
      <c r="A12" s="1">
        <v>45727</v>
      </c>
      <c r="B12">
        <v>424</v>
      </c>
    </row>
    <row r="13" spans="1:8" x14ac:dyDescent="0.3">
      <c r="A13" s="1">
        <v>45728</v>
      </c>
      <c r="B13">
        <v>357</v>
      </c>
    </row>
    <row r="14" spans="1:8" x14ac:dyDescent="0.3">
      <c r="A14" s="1">
        <v>45729</v>
      </c>
      <c r="B14">
        <v>376</v>
      </c>
    </row>
    <row r="15" spans="1:8" x14ac:dyDescent="0.3">
      <c r="A15" s="1">
        <v>45730</v>
      </c>
      <c r="B15">
        <v>281</v>
      </c>
    </row>
    <row r="16" spans="1:8" x14ac:dyDescent="0.3">
      <c r="A16" s="1">
        <v>45731</v>
      </c>
      <c r="B16">
        <v>258</v>
      </c>
    </row>
    <row r="17" spans="1:2" x14ac:dyDescent="0.3">
      <c r="A17" s="1">
        <v>45732</v>
      </c>
      <c r="B17">
        <v>391</v>
      </c>
    </row>
    <row r="18" spans="1:2" x14ac:dyDescent="0.3">
      <c r="A18" s="1">
        <v>45733</v>
      </c>
      <c r="B18">
        <v>238</v>
      </c>
    </row>
    <row r="19" spans="1:2" x14ac:dyDescent="0.3">
      <c r="A19" s="1">
        <v>45734</v>
      </c>
      <c r="B19">
        <v>305</v>
      </c>
    </row>
    <row r="20" spans="1:2" x14ac:dyDescent="0.3">
      <c r="A20" s="1">
        <v>45735</v>
      </c>
      <c r="B20">
        <v>367</v>
      </c>
    </row>
    <row r="21" spans="1:2" x14ac:dyDescent="0.3">
      <c r="A21" s="1">
        <v>45736</v>
      </c>
      <c r="B21">
        <v>287</v>
      </c>
    </row>
    <row r="22" spans="1:2" x14ac:dyDescent="0.3">
      <c r="A22" s="1">
        <v>45737</v>
      </c>
      <c r="B22">
        <v>357</v>
      </c>
    </row>
    <row r="23" spans="1:2" x14ac:dyDescent="0.3">
      <c r="A23" s="1">
        <v>45738</v>
      </c>
      <c r="B23">
        <v>303</v>
      </c>
    </row>
    <row r="24" spans="1:2" x14ac:dyDescent="0.3">
      <c r="A24" s="1">
        <v>45739</v>
      </c>
      <c r="B24">
        <v>403</v>
      </c>
    </row>
    <row r="25" spans="1:2" x14ac:dyDescent="0.3">
      <c r="A25" s="1">
        <v>45740</v>
      </c>
      <c r="B25">
        <v>283</v>
      </c>
    </row>
    <row r="26" spans="1:2" x14ac:dyDescent="0.3">
      <c r="A26" s="1">
        <v>45741</v>
      </c>
      <c r="B26">
        <v>320</v>
      </c>
    </row>
    <row r="27" spans="1:2" x14ac:dyDescent="0.3">
      <c r="A27" s="1">
        <v>45742</v>
      </c>
      <c r="B27">
        <v>330</v>
      </c>
    </row>
    <row r="28" spans="1:2" x14ac:dyDescent="0.3">
      <c r="A28" s="1">
        <v>45743</v>
      </c>
      <c r="B28">
        <v>288</v>
      </c>
    </row>
    <row r="29" spans="1:2" x14ac:dyDescent="0.3">
      <c r="A29" s="1">
        <v>45744</v>
      </c>
      <c r="B29">
        <v>256</v>
      </c>
    </row>
    <row r="30" spans="1:2" x14ac:dyDescent="0.3">
      <c r="A30" s="1">
        <v>45745</v>
      </c>
      <c r="B30">
        <v>258</v>
      </c>
    </row>
    <row r="31" spans="1:2" x14ac:dyDescent="0.3">
      <c r="A31" s="1">
        <v>45746</v>
      </c>
      <c r="B31">
        <v>268</v>
      </c>
    </row>
    <row r="32" spans="1:2" x14ac:dyDescent="0.3">
      <c r="A32" s="1">
        <v>45747</v>
      </c>
      <c r="B32">
        <v>328</v>
      </c>
    </row>
    <row r="33" spans="1:2" x14ac:dyDescent="0.3">
      <c r="A33" s="1">
        <v>45748</v>
      </c>
      <c r="B33">
        <v>280</v>
      </c>
    </row>
    <row r="34" spans="1:2" x14ac:dyDescent="0.3">
      <c r="A34" s="1">
        <v>45749</v>
      </c>
      <c r="B34">
        <v>266</v>
      </c>
    </row>
    <row r="35" spans="1:2" x14ac:dyDescent="0.3">
      <c r="A35" s="1">
        <v>45750</v>
      </c>
      <c r="B35">
        <v>351</v>
      </c>
    </row>
    <row r="36" spans="1:2" x14ac:dyDescent="0.3">
      <c r="A36" s="1">
        <v>45751</v>
      </c>
      <c r="B36">
        <v>389</v>
      </c>
    </row>
    <row r="37" spans="1:2" x14ac:dyDescent="0.3">
      <c r="A37" s="1">
        <v>45752</v>
      </c>
      <c r="B37">
        <v>300</v>
      </c>
    </row>
    <row r="38" spans="1:2" x14ac:dyDescent="0.3">
      <c r="A38" s="1">
        <v>45753</v>
      </c>
      <c r="B38">
        <v>414</v>
      </c>
    </row>
    <row r="39" spans="1:2" x14ac:dyDescent="0.3">
      <c r="A39" s="1">
        <v>45754</v>
      </c>
      <c r="B39">
        <v>268.5</v>
      </c>
    </row>
    <row r="40" spans="1:2" x14ac:dyDescent="0.3">
      <c r="A40" s="1">
        <v>45755</v>
      </c>
      <c r="B40">
        <v>276</v>
      </c>
    </row>
    <row r="41" spans="1:2" x14ac:dyDescent="0.3">
      <c r="A41" s="1">
        <v>45756</v>
      </c>
      <c r="B41">
        <v>317</v>
      </c>
    </row>
    <row r="42" spans="1:2" x14ac:dyDescent="0.3">
      <c r="A42" s="1">
        <v>45757</v>
      </c>
      <c r="B42">
        <v>342</v>
      </c>
    </row>
    <row r="43" spans="1:2" x14ac:dyDescent="0.3">
      <c r="A43" s="1">
        <v>45758</v>
      </c>
      <c r="B43">
        <v>287</v>
      </c>
    </row>
    <row r="44" spans="1:2" x14ac:dyDescent="0.3">
      <c r="A44" s="1">
        <v>45759</v>
      </c>
      <c r="B44">
        <v>284</v>
      </c>
    </row>
    <row r="45" spans="1:2" x14ac:dyDescent="0.3">
      <c r="A45" s="1">
        <v>45760</v>
      </c>
      <c r="B45">
        <v>315.5</v>
      </c>
    </row>
    <row r="46" spans="1:2" x14ac:dyDescent="0.3">
      <c r="A46" s="1">
        <v>45761</v>
      </c>
      <c r="B46">
        <v>280</v>
      </c>
    </row>
    <row r="47" spans="1:2" x14ac:dyDescent="0.3">
      <c r="A47" s="1">
        <v>45762</v>
      </c>
      <c r="B47">
        <v>375</v>
      </c>
    </row>
    <row r="48" spans="1:2" x14ac:dyDescent="0.3">
      <c r="A48" s="1">
        <v>45763</v>
      </c>
      <c r="B48">
        <v>312</v>
      </c>
    </row>
    <row r="49" spans="1:5" x14ac:dyDescent="0.3">
      <c r="A49" s="1">
        <v>45764</v>
      </c>
      <c r="B49">
        <v>298</v>
      </c>
    </row>
    <row r="50" spans="1:5" x14ac:dyDescent="0.3">
      <c r="A50" s="1">
        <v>45765</v>
      </c>
      <c r="B50">
        <v>310.5</v>
      </c>
    </row>
    <row r="51" spans="1:5" x14ac:dyDescent="0.3">
      <c r="A51" s="1">
        <v>45766</v>
      </c>
      <c r="B51">
        <v>292</v>
      </c>
    </row>
    <row r="52" spans="1:5" x14ac:dyDescent="0.3">
      <c r="A52" s="1">
        <v>45767</v>
      </c>
      <c r="B52">
        <v>308</v>
      </c>
    </row>
    <row r="53" spans="1:5" x14ac:dyDescent="0.3">
      <c r="A53" s="1">
        <v>45768</v>
      </c>
      <c r="B53">
        <v>254</v>
      </c>
    </row>
    <row r="54" spans="1:5" x14ac:dyDescent="0.3">
      <c r="A54" s="1">
        <v>45769</v>
      </c>
      <c r="B54">
        <v>339</v>
      </c>
    </row>
    <row r="55" spans="1:5" x14ac:dyDescent="0.3">
      <c r="A55" s="1">
        <v>45770</v>
      </c>
      <c r="B55">
        <v>270</v>
      </c>
    </row>
    <row r="56" spans="1:5" x14ac:dyDescent="0.3">
      <c r="A56" s="1">
        <v>45771</v>
      </c>
      <c r="B56">
        <v>238</v>
      </c>
    </row>
    <row r="57" spans="1:5" x14ac:dyDescent="0.3">
      <c r="A57" s="1">
        <v>45772</v>
      </c>
      <c r="B57">
        <v>239</v>
      </c>
    </row>
    <row r="58" spans="1:5" x14ac:dyDescent="0.3">
      <c r="A58" s="1">
        <v>45773</v>
      </c>
      <c r="B58">
        <v>363</v>
      </c>
    </row>
    <row r="59" spans="1:5" x14ac:dyDescent="0.3">
      <c r="A59" s="1">
        <v>45774</v>
      </c>
      <c r="B59">
        <v>305</v>
      </c>
    </row>
    <row r="60" spans="1:5" x14ac:dyDescent="0.3">
      <c r="A60" s="1">
        <v>45775</v>
      </c>
      <c r="B60">
        <v>247</v>
      </c>
    </row>
    <row r="61" spans="1:5" x14ac:dyDescent="0.3">
      <c r="A61" s="1">
        <v>45776</v>
      </c>
      <c r="B61">
        <v>265</v>
      </c>
    </row>
    <row r="62" spans="1:5" x14ac:dyDescent="0.3">
      <c r="A62" s="1">
        <v>45777</v>
      </c>
      <c r="B62">
        <v>411</v>
      </c>
      <c r="C62">
        <v>411</v>
      </c>
      <c r="D62" s="2">
        <v>411</v>
      </c>
      <c r="E62" s="2">
        <v>411</v>
      </c>
    </row>
    <row r="63" spans="1:5" x14ac:dyDescent="0.3">
      <c r="A63" s="1">
        <v>45778</v>
      </c>
      <c r="C63">
        <f>_xlfn.FORECAST.ETS(A63,$B$2:$B$62,$A$2:$A$62,15,1)</f>
        <v>245.46028220753593</v>
      </c>
      <c r="D63" s="2">
        <f>C63-_xlfn.FORECAST.ETS.CONFINT(A63,$B$2:$B$62,$A$2:$A$62,0.95,15,1)</f>
        <v>158.87508553860488</v>
      </c>
      <c r="E63" s="2">
        <f>C63+_xlfn.FORECAST.ETS.CONFINT(A63,$B$2:$B$62,$A$2:$A$62,0.95,15,1)</f>
        <v>332.04547887646697</v>
      </c>
    </row>
    <row r="64" spans="1:5" x14ac:dyDescent="0.3">
      <c r="A64" s="1">
        <v>45779</v>
      </c>
      <c r="C64">
        <f>_xlfn.FORECAST.ETS(A64,$B$2:$B$62,$A$2:$A$62,15,1)</f>
        <v>274.50108875625284</v>
      </c>
      <c r="D64" s="2">
        <f>C64-_xlfn.FORECAST.ETS.CONFINT(A64,$B$2:$B$62,$A$2:$A$62,0.95,15,1)</f>
        <v>187.22041887320813</v>
      </c>
      <c r="E64" s="2">
        <f>C64+_xlfn.FORECAST.ETS.CONFINT(A64,$B$2:$B$62,$A$2:$A$62,0.95,15,1)</f>
        <v>361.78175863929755</v>
      </c>
    </row>
    <row r="65" spans="1:5" x14ac:dyDescent="0.3">
      <c r="A65" s="1">
        <v>45780</v>
      </c>
      <c r="C65">
        <f>_xlfn.FORECAST.ETS(A65,$B$2:$B$62,$A$2:$A$62,15,1)</f>
        <v>347.60756899604445</v>
      </c>
      <c r="D65" s="2">
        <f>C65-_xlfn.FORECAST.ETS.CONFINT(A65,$B$2:$B$62,$A$2:$A$62,0.95,15,1)</f>
        <v>259.6260588798811</v>
      </c>
      <c r="E65" s="2">
        <f>C65+_xlfn.FORECAST.ETS.CONFINT(A65,$B$2:$B$62,$A$2:$A$62,0.95,15,1)</f>
        <v>435.5890791122078</v>
      </c>
    </row>
    <row r="66" spans="1:5" x14ac:dyDescent="0.3">
      <c r="A66" s="1">
        <v>45781</v>
      </c>
      <c r="C66">
        <f>_xlfn.FORECAST.ETS(A66,$B$2:$B$62,$A$2:$A$62,15,1)</f>
        <v>327.20761136757557</v>
      </c>
      <c r="D66" s="2">
        <f>C66-_xlfn.FORECAST.ETS.CONFINT(A66,$B$2:$B$62,$A$2:$A$62,0.95,15,1)</f>
        <v>238.51993670275755</v>
      </c>
      <c r="E66" s="2">
        <f>C66+_xlfn.FORECAST.ETS.CONFINT(A66,$B$2:$B$62,$A$2:$A$62,0.95,15,1)</f>
        <v>415.89528603239359</v>
      </c>
    </row>
    <row r="67" spans="1:5" x14ac:dyDescent="0.3">
      <c r="A67" s="1">
        <v>45782</v>
      </c>
      <c r="C67">
        <f>_xlfn.FORECAST.ETS(A67,$B$2:$B$62,$A$2:$A$62,15,1)</f>
        <v>317.18385969236937</v>
      </c>
      <c r="D67" s="2">
        <f>C67-_xlfn.FORECAST.ETS.CONFINT(A67,$B$2:$B$62,$A$2:$A$62,0.95,15,1)</f>
        <v>227.78473847397183</v>
      </c>
      <c r="E67" s="2">
        <f>C67+_xlfn.FORECAST.ETS.CONFINT(A67,$B$2:$B$62,$A$2:$A$62,0.95,15,1)</f>
        <v>406.58298091076688</v>
      </c>
    </row>
    <row r="68" spans="1:5" x14ac:dyDescent="0.3">
      <c r="A68" s="1">
        <v>45783</v>
      </c>
      <c r="C68">
        <f>_xlfn.FORECAST.ETS(A68,$B$2:$B$62,$A$2:$A$62,15,1)</f>
        <v>332.2374756323635</v>
      </c>
      <c r="D68" s="2">
        <f>C68-_xlfn.FORECAST.ETS.CONFINT(A68,$B$2:$B$62,$A$2:$A$62,0.95,15,1)</f>
        <v>242.12166776370748</v>
      </c>
      <c r="E68" s="2">
        <f>C68+_xlfn.FORECAST.ETS.CONFINT(A68,$B$2:$B$62,$A$2:$A$62,0.95,15,1)</f>
        <v>422.35328350101952</v>
      </c>
    </row>
    <row r="69" spans="1:5" x14ac:dyDescent="0.3">
      <c r="A69" s="1">
        <v>45784</v>
      </c>
      <c r="C69">
        <f>_xlfn.FORECAST.ETS(A69,$B$2:$B$62,$A$2:$A$62,15,1)</f>
        <v>326.58595341662698</v>
      </c>
      <c r="D69" s="2">
        <f>C69-_xlfn.FORECAST.ETS.CONFINT(A69,$B$2:$B$62,$A$2:$A$62,0.95,15,1)</f>
        <v>235.74826029839807</v>
      </c>
      <c r="E69" s="2">
        <f>C69+_xlfn.FORECAST.ETS.CONFINT(A69,$B$2:$B$62,$A$2:$A$62,0.95,15,1)</f>
        <v>417.42364653485589</v>
      </c>
    </row>
    <row r="70" spans="1:5" x14ac:dyDescent="0.3">
      <c r="A70" s="1">
        <v>45785</v>
      </c>
      <c r="C70">
        <f>_xlfn.FORECAST.ETS(A70,$B$2:$B$62,$A$2:$A$62,15,1)</f>
        <v>258.24887460549036</v>
      </c>
      <c r="D70" s="2">
        <f>C70-_xlfn.FORECAST.ETS.CONFINT(A70,$B$2:$B$62,$A$2:$A$62,0.95,15,1)</f>
        <v>166.68413871728211</v>
      </c>
      <c r="E70" s="2">
        <f>C70+_xlfn.FORECAST.ETS.CONFINT(A70,$B$2:$B$62,$A$2:$A$62,0.95,15,1)</f>
        <v>349.8136104936986</v>
      </c>
    </row>
    <row r="71" spans="1:5" x14ac:dyDescent="0.3">
      <c r="A71" s="1">
        <v>45786</v>
      </c>
      <c r="C71">
        <f>_xlfn.FORECAST.ETS(A71,$B$2:$B$62,$A$2:$A$62,15,1)</f>
        <v>306.30474173772581</v>
      </c>
      <c r="D71" s="2">
        <f>C71-_xlfn.FORECAST.ETS.CONFINT(A71,$B$2:$B$62,$A$2:$A$62,0.95,15,1)</f>
        <v>214.00784621290077</v>
      </c>
      <c r="E71" s="2">
        <f>C71+_xlfn.FORECAST.ETS.CONFINT(A71,$B$2:$B$62,$A$2:$A$62,0.95,15,1)</f>
        <v>398.60163726255087</v>
      </c>
    </row>
    <row r="72" spans="1:5" x14ac:dyDescent="0.3">
      <c r="A72" s="1">
        <v>45787</v>
      </c>
      <c r="C72">
        <f>_xlfn.FORECAST.ETS(A72,$B$2:$B$62,$A$2:$A$62,15,1)</f>
        <v>359.40537884502231</v>
      </c>
      <c r="D72" s="2">
        <f>C72-_xlfn.FORECAST.ETS.CONFINT(A72,$B$2:$B$62,$A$2:$A$62,0.95,15,1)</f>
        <v>266.37124703973529</v>
      </c>
      <c r="E72" s="2">
        <f>C72+_xlfn.FORECAST.ETS.CONFINT(A72,$B$2:$B$62,$A$2:$A$62,0.95,15,1)</f>
        <v>452.43951065030933</v>
      </c>
    </row>
    <row r="73" spans="1:5" x14ac:dyDescent="0.3">
      <c r="A73" s="1">
        <v>45788</v>
      </c>
      <c r="C73">
        <f>_xlfn.FORECAST.ETS(A73,$B$2:$B$62,$A$2:$A$62,15,1)</f>
        <v>303.62080568383897</v>
      </c>
      <c r="D73" s="2">
        <f>C73-_xlfn.FORECAST.ETS.CONFINT(A73,$B$2:$B$62,$A$2:$A$62,0.95,15,1)</f>
        <v>209.84440074102278</v>
      </c>
      <c r="E73" s="2">
        <f>C73+_xlfn.FORECAST.ETS.CONFINT(A73,$B$2:$B$62,$A$2:$A$62,0.95,15,1)</f>
        <v>397.39721062665512</v>
      </c>
    </row>
    <row r="74" spans="1:5" x14ac:dyDescent="0.3">
      <c r="A74" s="1">
        <v>45789</v>
      </c>
      <c r="C74">
        <f>_xlfn.FORECAST.ETS(A74,$B$2:$B$62,$A$2:$A$62,15,1)</f>
        <v>298.07505919024277</v>
      </c>
      <c r="D74" s="2">
        <f>C74-_xlfn.FORECAST.ETS.CONFINT(A74,$B$2:$B$62,$A$2:$A$62,0.95,15,1)</f>
        <v>203.55138359931158</v>
      </c>
      <c r="E74" s="2">
        <f>C74+_xlfn.FORECAST.ETS.CONFINT(A74,$B$2:$B$62,$A$2:$A$62,0.95,15,1)</f>
        <v>392.59873478117396</v>
      </c>
    </row>
    <row r="75" spans="1:5" x14ac:dyDescent="0.3">
      <c r="A75" s="1">
        <v>45790</v>
      </c>
      <c r="C75">
        <f>_xlfn.FORECAST.ETS(A75,$B$2:$B$62,$A$2:$A$62,15,1)</f>
        <v>250.74262787672185</v>
      </c>
      <c r="D75" s="2">
        <f>C75-_xlfn.FORECAST.ETS.CONFINT(A75,$B$2:$B$62,$A$2:$A$62,0.95,15,1)</f>
        <v>155.46672302970518</v>
      </c>
      <c r="E75" s="2">
        <f>C75+_xlfn.FORECAST.ETS.CONFINT(A75,$B$2:$B$62,$A$2:$A$62,0.95,15,1)</f>
        <v>346.01853272373853</v>
      </c>
    </row>
    <row r="76" spans="1:5" x14ac:dyDescent="0.3">
      <c r="A76" s="1">
        <v>45791</v>
      </c>
      <c r="C76">
        <f>_xlfn.FORECAST.ETS(A76,$B$2:$B$62,$A$2:$A$62,15,1)</f>
        <v>245.36416709157407</v>
      </c>
      <c r="D76" s="2">
        <f>C76-_xlfn.FORECAST.ETS.CONFINT(A76,$B$2:$B$62,$A$2:$A$62,0.95,15,1)</f>
        <v>149.33111283635367</v>
      </c>
      <c r="E76" s="2">
        <f>C76+_xlfn.FORECAST.ETS.CONFINT(A76,$B$2:$B$62,$A$2:$A$62,0.95,15,1)</f>
        <v>341.39722134679448</v>
      </c>
    </row>
    <row r="77" spans="1:5" x14ac:dyDescent="0.3">
      <c r="A77" s="1">
        <v>45792</v>
      </c>
      <c r="C77">
        <f>_xlfn.FORECAST.ETS(A77,$B$2:$B$62,$A$2:$A$62,15,1)</f>
        <v>341.80385989859911</v>
      </c>
      <c r="D77" s="2">
        <f>C77-_xlfn.FORECAST.ETS.CONFINT(A77,$B$2:$B$62,$A$2:$A$62,0.95,15,1)</f>
        <v>245.0087740898806</v>
      </c>
      <c r="E77" s="2">
        <f>C77+_xlfn.FORECAST.ETS.CONFINT(A77,$B$2:$B$62,$A$2:$A$62,0.95,15,1)</f>
        <v>438.59894570731763</v>
      </c>
    </row>
    <row r="78" spans="1:5" x14ac:dyDescent="0.3">
      <c r="A78" s="1">
        <v>45793</v>
      </c>
      <c r="C78">
        <f>_xlfn.FORECAST.ETS(A78,$B$2:$B$62,$A$2:$A$62,15,1)</f>
        <v>242.70803808140786</v>
      </c>
      <c r="D78" s="2">
        <f>C78-_xlfn.FORECAST.ETS.CONFINT(A78,$B$2:$B$62,$A$2:$A$62,0.95,15,1)</f>
        <v>145.13520338982266</v>
      </c>
      <c r="E78" s="2">
        <f>C78+_xlfn.FORECAST.ETS.CONFINT(A78,$B$2:$B$62,$A$2:$A$62,0.95,15,1)</f>
        <v>340.28087277299306</v>
      </c>
    </row>
    <row r="79" spans="1:5" x14ac:dyDescent="0.3">
      <c r="A79" s="1">
        <v>45794</v>
      </c>
      <c r="C79">
        <f>_xlfn.FORECAST.ETS(A79,$B$2:$B$62,$A$2:$A$62,15,1)</f>
        <v>271.74884463012478</v>
      </c>
      <c r="D79" s="2">
        <f>C79-_xlfn.FORECAST.ETS.CONFINT(A79,$B$2:$B$62,$A$2:$A$62,0.95,15,1)</f>
        <v>173.40441162659562</v>
      </c>
      <c r="E79" s="2">
        <f>C79+_xlfn.FORECAST.ETS.CONFINT(A79,$B$2:$B$62,$A$2:$A$62,0.95,15,1)</f>
        <v>370.09327763365394</v>
      </c>
    </row>
    <row r="80" spans="1:5" x14ac:dyDescent="0.3">
      <c r="A80" s="1">
        <v>45795</v>
      </c>
      <c r="C80">
        <f>_xlfn.FORECAST.ETS(A80,$B$2:$B$62,$A$2:$A$62,15,1)</f>
        <v>344.85532486991639</v>
      </c>
      <c r="D80" s="2">
        <f>C80-_xlfn.FORECAST.ETS.CONFINT(A80,$B$2:$B$62,$A$2:$A$62,0.95,15,1)</f>
        <v>245.73452190827621</v>
      </c>
      <c r="E80" s="2">
        <f>C80+_xlfn.FORECAST.ETS.CONFINT(A80,$B$2:$B$62,$A$2:$A$62,0.95,15,1)</f>
        <v>443.9761278315566</v>
      </c>
    </row>
    <row r="81" spans="1:5" x14ac:dyDescent="0.3">
      <c r="A81" s="1">
        <v>45796</v>
      </c>
      <c r="C81">
        <f>_xlfn.FORECAST.ETS(A81,$B$2:$B$62,$A$2:$A$62,15,1)</f>
        <v>324.4553672414475</v>
      </c>
      <c r="D81" s="2">
        <f>C81-_xlfn.FORECAST.ETS.CONFINT(A81,$B$2:$B$62,$A$2:$A$62,0.95,15,1)</f>
        <v>224.55345887795355</v>
      </c>
      <c r="E81" s="2">
        <f>C81+_xlfn.FORECAST.ETS.CONFINT(A81,$B$2:$B$62,$A$2:$A$62,0.95,15,1)</f>
        <v>424.35727560494149</v>
      </c>
    </row>
    <row r="82" spans="1:5" x14ac:dyDescent="0.3">
      <c r="A82" s="1">
        <v>45797</v>
      </c>
      <c r="C82">
        <f>_xlfn.FORECAST.ETS(A82,$B$2:$B$62,$A$2:$A$62,15,1)</f>
        <v>314.43161556624131</v>
      </c>
      <c r="D82" s="2">
        <f>C82-_xlfn.FORECAST.ETS.CONFINT(A82,$B$2:$B$62,$A$2:$A$62,0.95,15,1)</f>
        <v>213.74390210774061</v>
      </c>
      <c r="E82" s="2">
        <f>C82+_xlfn.FORECAST.ETS.CONFINT(A82,$B$2:$B$62,$A$2:$A$62,0.95,15,1)</f>
        <v>415.119329024742</v>
      </c>
    </row>
    <row r="83" spans="1:5" x14ac:dyDescent="0.3">
      <c r="A83" s="1">
        <v>45798</v>
      </c>
      <c r="C83">
        <f>_xlfn.FORECAST.ETS(A83,$B$2:$B$62,$A$2:$A$62,15,1)</f>
        <v>329.48523150623544</v>
      </c>
      <c r="D83" s="2">
        <f>C83-_xlfn.FORECAST.ETS.CONFINT(A83,$B$2:$B$62,$A$2:$A$62,0.95,15,1)</f>
        <v>228.00704855909913</v>
      </c>
      <c r="E83" s="2">
        <f>C83+_xlfn.FORECAST.ETS.CONFINT(A83,$B$2:$B$62,$A$2:$A$62,0.95,15,1)</f>
        <v>430.96341445337174</v>
      </c>
    </row>
    <row r="84" spans="1:5" x14ac:dyDescent="0.3">
      <c r="A84" s="1">
        <v>45799</v>
      </c>
      <c r="C84">
        <f>_xlfn.FORECAST.ETS(A84,$B$2:$B$62,$A$2:$A$62,15,1)</f>
        <v>323.83370929049892</v>
      </c>
      <c r="D84" s="2">
        <f>C84-_xlfn.FORECAST.ETS.CONFINT(A84,$B$2:$B$62,$A$2:$A$62,0.95,15,1)</f>
        <v>221.56042731072441</v>
      </c>
      <c r="E84" s="2">
        <f>C84+_xlfn.FORECAST.ETS.CONFINT(A84,$B$2:$B$62,$A$2:$A$62,0.95,15,1)</f>
        <v>426.1069912702734</v>
      </c>
    </row>
    <row r="85" spans="1:5" x14ac:dyDescent="0.3">
      <c r="A85" s="1">
        <v>45800</v>
      </c>
      <c r="C85">
        <f>_xlfn.FORECAST.ETS(A85,$B$2:$B$62,$A$2:$A$62,15,1)</f>
        <v>255.49663047936232</v>
      </c>
      <c r="D85" s="2">
        <f>C85-_xlfn.FORECAST.ETS.CONFINT(A85,$B$2:$B$62,$A$2:$A$62,0.95,15,1)</f>
        <v>152.42365432421425</v>
      </c>
      <c r="E85" s="2">
        <f>C85+_xlfn.FORECAST.ETS.CONFINT(A85,$B$2:$B$62,$A$2:$A$62,0.95,15,1)</f>
        <v>358.56960663451036</v>
      </c>
    </row>
    <row r="86" spans="1:5" x14ac:dyDescent="0.3">
      <c r="A86" s="1">
        <v>45801</v>
      </c>
      <c r="C86">
        <f>_xlfn.FORECAST.ETS(A86,$B$2:$B$62,$A$2:$A$62,15,1)</f>
        <v>303.5524976115978</v>
      </c>
      <c r="D86" s="2">
        <f>C86-_xlfn.FORECAST.ETS.CONFINT(A86,$B$2:$B$62,$A$2:$A$62,0.95,15,1)</f>
        <v>199.67526609313276</v>
      </c>
      <c r="E86" s="2">
        <f>C86+_xlfn.FORECAST.ETS.CONFINT(A86,$B$2:$B$62,$A$2:$A$62,0.95,15,1)</f>
        <v>407.42972913006281</v>
      </c>
    </row>
    <row r="87" spans="1:5" x14ac:dyDescent="0.3">
      <c r="A87" s="1">
        <v>45802</v>
      </c>
      <c r="C87">
        <f>_xlfn.FORECAST.ETS(A87,$B$2:$B$62,$A$2:$A$62,15,1)</f>
        <v>356.65313471889425</v>
      </c>
      <c r="D87" s="2">
        <f>C87-_xlfn.FORECAST.ETS.CONFINT(A87,$B$2:$B$62,$A$2:$A$62,0.95,15,1)</f>
        <v>251.96712015968853</v>
      </c>
      <c r="E87" s="2">
        <f>C87+_xlfn.FORECAST.ETS.CONFINT(A87,$B$2:$B$62,$A$2:$A$62,0.95,15,1)</f>
        <v>461.33914927809997</v>
      </c>
    </row>
    <row r="88" spans="1:5" x14ac:dyDescent="0.3">
      <c r="A88" s="1">
        <v>45803</v>
      </c>
      <c r="C88">
        <f>_xlfn.FORECAST.ETS(A88,$B$2:$B$62,$A$2:$A$62,15,1)</f>
        <v>300.8685615577109</v>
      </c>
      <c r="D88" s="2">
        <f>C88-_xlfn.FORECAST.ETS.CONFINT(A88,$B$2:$B$62,$A$2:$A$62,0.95,15,1)</f>
        <v>195.36926934908698</v>
      </c>
      <c r="E88" s="2">
        <f>C88+_xlfn.FORECAST.ETS.CONFINT(A88,$B$2:$B$62,$A$2:$A$62,0.95,15,1)</f>
        <v>406.36785376633486</v>
      </c>
    </row>
    <row r="89" spans="1:5" x14ac:dyDescent="0.3">
      <c r="A89" s="1">
        <v>45804</v>
      </c>
      <c r="C89">
        <f>_xlfn.FORECAST.ETS(A89,$B$2:$B$62,$A$2:$A$62,15,1)</f>
        <v>295.32281506411471</v>
      </c>
      <c r="D89" s="2">
        <f>C89-_xlfn.FORECAST.ETS.CONFINT(A89,$B$2:$B$62,$A$2:$A$62,0.95,15,1)</f>
        <v>189.00578322713898</v>
      </c>
      <c r="E89" s="2">
        <f>C89+_xlfn.FORECAST.ETS.CONFINT(A89,$B$2:$B$62,$A$2:$A$62,0.95,15,1)</f>
        <v>401.63984690109044</v>
      </c>
    </row>
    <row r="90" spans="1:5" x14ac:dyDescent="0.3">
      <c r="A90" s="1">
        <v>45805</v>
      </c>
      <c r="C90">
        <f>_xlfn.FORECAST.ETS(A90,$B$2:$B$62,$A$2:$A$62,15,1)</f>
        <v>247.99038375059379</v>
      </c>
      <c r="D90" s="2">
        <f>C90-_xlfn.FORECAST.ETS.CONFINT(A90,$B$2:$B$62,$A$2:$A$62,0.95,15,1)</f>
        <v>140.85118250009691</v>
      </c>
      <c r="E90" s="2">
        <f>C90+_xlfn.FORECAST.ETS.CONFINT(A90,$B$2:$B$62,$A$2:$A$62,0.95,15,1)</f>
        <v>355.12958500109067</v>
      </c>
    </row>
    <row r="91" spans="1:5" x14ac:dyDescent="0.3">
      <c r="A91" s="1">
        <v>45806</v>
      </c>
      <c r="C91">
        <f>_xlfn.FORECAST.ETS(A91,$B$2:$B$62,$A$2:$A$62,15,1)</f>
        <v>242.61192296544601</v>
      </c>
      <c r="D91" s="2">
        <f>C91-_xlfn.FORECAST.ETS.CONFINT(A91,$B$2:$B$62,$A$2:$A$62,0.95,15,1)</f>
        <v>134.64615427729626</v>
      </c>
      <c r="E91" s="2">
        <f>C91+_xlfn.FORECAST.ETS.CONFINT(A91,$B$2:$B$62,$A$2:$A$62,0.95,15,1)</f>
        <v>350.57769165359576</v>
      </c>
    </row>
    <row r="92" spans="1:5" x14ac:dyDescent="0.3">
      <c r="A92" s="1">
        <v>45807</v>
      </c>
      <c r="C92">
        <f>_xlfn.FORECAST.ETS(A92,$B$2:$B$62,$A$2:$A$62,15,1)</f>
        <v>339.05161577247105</v>
      </c>
      <c r="D92" s="2">
        <f>C92-_xlfn.FORECAST.ETS.CONFINT(A92,$B$2:$B$62,$A$2:$A$62,0.95,15,1)</f>
        <v>230.25491295431181</v>
      </c>
      <c r="E92" s="2">
        <f>C92+_xlfn.FORECAST.ETS.CONFINT(A92,$B$2:$B$62,$A$2:$A$62,0.95,15,1)</f>
        <v>447.8483185906303</v>
      </c>
    </row>
    <row r="93" spans="1:5" x14ac:dyDescent="0.3">
      <c r="A93" s="1">
        <v>45808</v>
      </c>
      <c r="C93">
        <f>_xlfn.FORECAST.ETS(A93,$B$2:$B$62,$A$2:$A$62,15,1)</f>
        <v>239.9557939552798</v>
      </c>
      <c r="D93" s="2">
        <f>C93-_xlfn.FORECAST.ETS.CONFINT(A93,$B$2:$B$62,$A$2:$A$62,0.95,15,1)</f>
        <v>130.31311975648646</v>
      </c>
      <c r="E93" s="2">
        <f>C93+_xlfn.FORECAST.ETS.CONFINT(A93,$B$2:$B$62,$A$2:$A$62,0.95,15,1)</f>
        <v>349.59846815407315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4397-EDD4-4669-84C9-B742887B23D3}">
  <dimension ref="A1:B93"/>
  <sheetViews>
    <sheetView topLeftCell="A40" workbookViewId="0">
      <selection sqref="A1:B62"/>
    </sheetView>
  </sheetViews>
  <sheetFormatPr defaultRowHeight="14.4" x14ac:dyDescent="0.3"/>
  <cols>
    <col min="1" max="1" width="1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45717</v>
      </c>
      <c r="B2">
        <v>338</v>
      </c>
    </row>
    <row r="3" spans="1:2" x14ac:dyDescent="0.3">
      <c r="A3" s="1">
        <v>45718</v>
      </c>
      <c r="B3">
        <v>340</v>
      </c>
    </row>
    <row r="4" spans="1:2" x14ac:dyDescent="0.3">
      <c r="A4" s="1">
        <v>45719</v>
      </c>
      <c r="B4">
        <v>279</v>
      </c>
    </row>
    <row r="5" spans="1:2" x14ac:dyDescent="0.3">
      <c r="A5" s="1">
        <v>45720</v>
      </c>
      <c r="B5">
        <v>286</v>
      </c>
    </row>
    <row r="6" spans="1:2" x14ac:dyDescent="0.3">
      <c r="A6" s="1">
        <v>45721</v>
      </c>
      <c r="B6">
        <v>316</v>
      </c>
    </row>
    <row r="7" spans="1:2" x14ac:dyDescent="0.3">
      <c r="A7" s="1">
        <v>45722</v>
      </c>
      <c r="B7">
        <v>323</v>
      </c>
    </row>
    <row r="8" spans="1:2" x14ac:dyDescent="0.3">
      <c r="A8" s="1">
        <v>45723</v>
      </c>
      <c r="B8">
        <v>322</v>
      </c>
    </row>
    <row r="9" spans="1:2" x14ac:dyDescent="0.3">
      <c r="A9" s="1">
        <v>45724</v>
      </c>
      <c r="B9">
        <v>284</v>
      </c>
    </row>
    <row r="10" spans="1:2" x14ac:dyDescent="0.3">
      <c r="A10" s="1">
        <v>45725</v>
      </c>
      <c r="B10">
        <v>268</v>
      </c>
    </row>
    <row r="11" spans="1:2" x14ac:dyDescent="0.3">
      <c r="A11" s="1">
        <v>45726</v>
      </c>
      <c r="B11">
        <v>327</v>
      </c>
    </row>
    <row r="12" spans="1:2" x14ac:dyDescent="0.3">
      <c r="A12" s="1">
        <v>45727</v>
      </c>
      <c r="B12">
        <v>424</v>
      </c>
    </row>
    <row r="13" spans="1:2" x14ac:dyDescent="0.3">
      <c r="A13" s="1">
        <v>45728</v>
      </c>
      <c r="B13">
        <v>357</v>
      </c>
    </row>
    <row r="14" spans="1:2" x14ac:dyDescent="0.3">
      <c r="A14" s="1">
        <v>45729</v>
      </c>
      <c r="B14">
        <v>376</v>
      </c>
    </row>
    <row r="15" spans="1:2" x14ac:dyDescent="0.3">
      <c r="A15" s="1">
        <v>45730</v>
      </c>
      <c r="B15">
        <v>281</v>
      </c>
    </row>
    <row r="16" spans="1:2" x14ac:dyDescent="0.3">
      <c r="A16" s="1">
        <v>45731</v>
      </c>
      <c r="B16">
        <v>258</v>
      </c>
    </row>
    <row r="17" spans="1:2" x14ac:dyDescent="0.3">
      <c r="A17" s="1">
        <v>45732</v>
      </c>
      <c r="B17">
        <v>391</v>
      </c>
    </row>
    <row r="18" spans="1:2" x14ac:dyDescent="0.3">
      <c r="A18" s="1">
        <v>45733</v>
      </c>
      <c r="B18">
        <v>238</v>
      </c>
    </row>
    <row r="19" spans="1:2" x14ac:dyDescent="0.3">
      <c r="A19" s="1">
        <v>45734</v>
      </c>
      <c r="B19">
        <v>305</v>
      </c>
    </row>
    <row r="20" spans="1:2" x14ac:dyDescent="0.3">
      <c r="A20" s="1">
        <v>45735</v>
      </c>
      <c r="B20">
        <v>367</v>
      </c>
    </row>
    <row r="21" spans="1:2" x14ac:dyDescent="0.3">
      <c r="A21" s="1">
        <v>45736</v>
      </c>
      <c r="B21">
        <v>287</v>
      </c>
    </row>
    <row r="22" spans="1:2" x14ac:dyDescent="0.3">
      <c r="A22" s="1">
        <v>45737</v>
      </c>
      <c r="B22">
        <v>357</v>
      </c>
    </row>
    <row r="23" spans="1:2" x14ac:dyDescent="0.3">
      <c r="A23" s="1">
        <v>45738</v>
      </c>
      <c r="B23">
        <v>303</v>
      </c>
    </row>
    <row r="24" spans="1:2" x14ac:dyDescent="0.3">
      <c r="A24" s="1">
        <v>45739</v>
      </c>
      <c r="B24">
        <v>403</v>
      </c>
    </row>
    <row r="25" spans="1:2" x14ac:dyDescent="0.3">
      <c r="A25" s="1">
        <v>45740</v>
      </c>
      <c r="B25">
        <v>283</v>
      </c>
    </row>
    <row r="26" spans="1:2" x14ac:dyDescent="0.3">
      <c r="A26" s="1">
        <v>45741</v>
      </c>
      <c r="B26">
        <v>320</v>
      </c>
    </row>
    <row r="27" spans="1:2" x14ac:dyDescent="0.3">
      <c r="A27" s="1">
        <v>45742</v>
      </c>
      <c r="B27">
        <v>330</v>
      </c>
    </row>
    <row r="28" spans="1:2" x14ac:dyDescent="0.3">
      <c r="A28" s="1">
        <v>45743</v>
      </c>
      <c r="B28">
        <v>288</v>
      </c>
    </row>
    <row r="29" spans="1:2" x14ac:dyDescent="0.3">
      <c r="A29" s="1">
        <v>45744</v>
      </c>
      <c r="B29">
        <v>256</v>
      </c>
    </row>
    <row r="30" spans="1:2" x14ac:dyDescent="0.3">
      <c r="A30" s="1">
        <v>45745</v>
      </c>
      <c r="B30">
        <v>258</v>
      </c>
    </row>
    <row r="31" spans="1:2" x14ac:dyDescent="0.3">
      <c r="A31" s="1">
        <v>45746</v>
      </c>
      <c r="B31">
        <v>268</v>
      </c>
    </row>
    <row r="32" spans="1:2" x14ac:dyDescent="0.3">
      <c r="A32" s="1">
        <v>45747</v>
      </c>
      <c r="B32">
        <v>328</v>
      </c>
    </row>
    <row r="33" spans="1:2" x14ac:dyDescent="0.3">
      <c r="A33" s="1">
        <v>45748</v>
      </c>
      <c r="B33">
        <v>280</v>
      </c>
    </row>
    <row r="34" spans="1:2" x14ac:dyDescent="0.3">
      <c r="A34" s="1">
        <v>45749</v>
      </c>
      <c r="B34">
        <v>266</v>
      </c>
    </row>
    <row r="35" spans="1:2" x14ac:dyDescent="0.3">
      <c r="A35" s="1">
        <v>45750</v>
      </c>
      <c r="B35">
        <v>351</v>
      </c>
    </row>
    <row r="36" spans="1:2" x14ac:dyDescent="0.3">
      <c r="A36" s="1">
        <v>45751</v>
      </c>
      <c r="B36">
        <v>389</v>
      </c>
    </row>
    <row r="37" spans="1:2" x14ac:dyDescent="0.3">
      <c r="A37" s="1">
        <v>45752</v>
      </c>
      <c r="B37">
        <v>300</v>
      </c>
    </row>
    <row r="38" spans="1:2" x14ac:dyDescent="0.3">
      <c r="A38" s="1">
        <v>45753</v>
      </c>
      <c r="B38">
        <v>414</v>
      </c>
    </row>
    <row r="39" spans="1:2" x14ac:dyDescent="0.3">
      <c r="A39" s="1">
        <v>45754</v>
      </c>
      <c r="B39">
        <v>268.5</v>
      </c>
    </row>
    <row r="40" spans="1:2" x14ac:dyDescent="0.3">
      <c r="A40" s="1">
        <v>45755</v>
      </c>
      <c r="B40">
        <v>276</v>
      </c>
    </row>
    <row r="41" spans="1:2" x14ac:dyDescent="0.3">
      <c r="A41" s="1">
        <v>45756</v>
      </c>
      <c r="B41">
        <v>317</v>
      </c>
    </row>
    <row r="42" spans="1:2" x14ac:dyDescent="0.3">
      <c r="A42" s="1">
        <v>45757</v>
      </c>
      <c r="B42">
        <v>342</v>
      </c>
    </row>
    <row r="43" spans="1:2" x14ac:dyDescent="0.3">
      <c r="A43" s="1">
        <v>45758</v>
      </c>
      <c r="B43">
        <v>287</v>
      </c>
    </row>
    <row r="44" spans="1:2" x14ac:dyDescent="0.3">
      <c r="A44" s="1">
        <v>45759</v>
      </c>
      <c r="B44">
        <v>284</v>
      </c>
    </row>
    <row r="45" spans="1:2" x14ac:dyDescent="0.3">
      <c r="A45" s="1">
        <v>45760</v>
      </c>
      <c r="B45">
        <v>315.5</v>
      </c>
    </row>
    <row r="46" spans="1:2" x14ac:dyDescent="0.3">
      <c r="A46" s="1">
        <v>45761</v>
      </c>
      <c r="B46">
        <v>280</v>
      </c>
    </row>
    <row r="47" spans="1:2" x14ac:dyDescent="0.3">
      <c r="A47" s="1">
        <v>45762</v>
      </c>
      <c r="B47">
        <v>375</v>
      </c>
    </row>
    <row r="48" spans="1:2" x14ac:dyDescent="0.3">
      <c r="A48" s="1">
        <v>45763</v>
      </c>
      <c r="B48">
        <v>312</v>
      </c>
    </row>
    <row r="49" spans="1:2" x14ac:dyDescent="0.3">
      <c r="A49" s="1">
        <v>45764</v>
      </c>
      <c r="B49">
        <v>298</v>
      </c>
    </row>
    <row r="50" spans="1:2" x14ac:dyDescent="0.3">
      <c r="A50" s="1">
        <v>45765</v>
      </c>
      <c r="B50">
        <v>310.5</v>
      </c>
    </row>
    <row r="51" spans="1:2" x14ac:dyDescent="0.3">
      <c r="A51" s="1">
        <v>45766</v>
      </c>
      <c r="B51">
        <v>292</v>
      </c>
    </row>
    <row r="52" spans="1:2" x14ac:dyDescent="0.3">
      <c r="A52" s="1">
        <v>45767</v>
      </c>
      <c r="B52">
        <v>308</v>
      </c>
    </row>
    <row r="53" spans="1:2" x14ac:dyDescent="0.3">
      <c r="A53" s="1">
        <v>45768</v>
      </c>
      <c r="B53">
        <v>254</v>
      </c>
    </row>
    <row r="54" spans="1:2" x14ac:dyDescent="0.3">
      <c r="A54" s="1">
        <v>45769</v>
      </c>
      <c r="B54">
        <v>339</v>
      </c>
    </row>
    <row r="55" spans="1:2" x14ac:dyDescent="0.3">
      <c r="A55" s="1">
        <v>45770</v>
      </c>
      <c r="B55">
        <v>270</v>
      </c>
    </row>
    <row r="56" spans="1:2" x14ac:dyDescent="0.3">
      <c r="A56" s="1">
        <v>45771</v>
      </c>
      <c r="B56">
        <v>238</v>
      </c>
    </row>
    <row r="57" spans="1:2" x14ac:dyDescent="0.3">
      <c r="A57" s="1">
        <v>45772</v>
      </c>
      <c r="B57">
        <v>239</v>
      </c>
    </row>
    <row r="58" spans="1:2" x14ac:dyDescent="0.3">
      <c r="A58" s="1">
        <v>45773</v>
      </c>
      <c r="B58">
        <v>363</v>
      </c>
    </row>
    <row r="59" spans="1:2" x14ac:dyDescent="0.3">
      <c r="A59" s="1">
        <v>45774</v>
      </c>
      <c r="B59">
        <v>305</v>
      </c>
    </row>
    <row r="60" spans="1:2" x14ac:dyDescent="0.3">
      <c r="A60" s="1">
        <v>45775</v>
      </c>
      <c r="B60">
        <v>247</v>
      </c>
    </row>
    <row r="61" spans="1:2" x14ac:dyDescent="0.3">
      <c r="A61" s="1">
        <v>45776</v>
      </c>
      <c r="B61">
        <v>265</v>
      </c>
    </row>
    <row r="62" spans="1:2" x14ac:dyDescent="0.3">
      <c r="A62" s="1">
        <v>45777</v>
      </c>
      <c r="B62">
        <v>411</v>
      </c>
    </row>
    <row r="63" spans="1:2" x14ac:dyDescent="0.3">
      <c r="A63" s="1"/>
    </row>
    <row r="64" spans="1:2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BDM Project Forecast_Sales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 G</dc:creator>
  <cp:lastModifiedBy>Rounak Gupta</cp:lastModifiedBy>
  <dcterms:created xsi:type="dcterms:W3CDTF">2025-08-20T09:06:18Z</dcterms:created>
  <dcterms:modified xsi:type="dcterms:W3CDTF">2025-08-20T09:06:18Z</dcterms:modified>
</cp:coreProperties>
</file>