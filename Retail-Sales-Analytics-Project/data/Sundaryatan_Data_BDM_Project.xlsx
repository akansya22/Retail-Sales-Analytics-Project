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ive Statistics" sheetId="1" r:id="rId4"/>
    <sheet state="visible" name="Sales" sheetId="2" r:id="rId5"/>
    <sheet state="visible" name="Revenue" sheetId="3" r:id="rId6"/>
    <sheet state="visible" name="COGS" sheetId="4" r:id="rId7"/>
    <sheet state="visible" name="Profit" sheetId="5" r:id="rId8"/>
    <sheet state="visible" name="Inventory" sheetId="6" r:id="rId9"/>
    <sheet state="visible" name="Cost_Price_List" sheetId="7" r:id="rId10"/>
    <sheet state="visible" name="Purchase_Quantity" sheetId="8" r:id="rId11"/>
    <sheet state="visible" name="Customers Data" sheetId="9" r:id="rId12"/>
    <sheet state="visible" name="Customers Survey" sheetId="10" r:id="rId13"/>
  </sheets>
  <definedNames>
    <definedName hidden="1" localSheetId="8" name="_xlnm._FilterDatabase">'Customers Data'!$A$1:$N$96</definedName>
  </definedNames>
  <calcPr/>
</workbook>
</file>

<file path=xl/sharedStrings.xml><?xml version="1.0" encoding="utf-8"?>
<sst xmlns="http://schemas.openxmlformats.org/spreadsheetml/2006/main" count="2845" uniqueCount="340">
  <si>
    <t>Sales</t>
  </si>
  <si>
    <t>Revenue</t>
  </si>
  <si>
    <t>Expense</t>
  </si>
  <si>
    <t>Profit</t>
  </si>
  <si>
    <t>Inventory</t>
  </si>
  <si>
    <t>Column 1</t>
  </si>
  <si>
    <t>Column 2</t>
  </si>
  <si>
    <t>Column 3</t>
  </si>
  <si>
    <t>Column 4</t>
  </si>
  <si>
    <t>Column 5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</si>
  <si>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</si>
  <si>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</si>
  <si>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</si>
  <si>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</si>
  <si>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</si>
  <si>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</si>
  <si>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</si>
  <si>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</si>
  <si>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</si>
  <si>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</si>
  <si>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</si>
  <si>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</si>
  <si>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</si>
  <si>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</si>
  <si>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</si>
  <si>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Level(95%)</t>
  </si>
  <si>
    <t>Date</t>
  </si>
  <si>
    <t>Rice</t>
  </si>
  <si>
    <t>Sugar</t>
  </si>
  <si>
    <t>Cooking Oil</t>
  </si>
  <si>
    <t>Atta</t>
  </si>
  <si>
    <t>Milk and Dairy</t>
  </si>
  <si>
    <t>Ice Cream</t>
  </si>
  <si>
    <t>Moong Daal</t>
  </si>
  <si>
    <t>Ghee</t>
  </si>
  <si>
    <t>Dry Fruits</t>
  </si>
  <si>
    <t>Cold Drinks</t>
  </si>
  <si>
    <t>Toor Daal</t>
  </si>
  <si>
    <t>Urad Daal</t>
  </si>
  <si>
    <t>Total Sales</t>
  </si>
  <si>
    <t>Average Sales</t>
  </si>
  <si>
    <t>Wheat Flour</t>
  </si>
  <si>
    <t>Moong Dal</t>
  </si>
  <si>
    <t>Toor Dal</t>
  </si>
  <si>
    <t>Urad Dal</t>
  </si>
  <si>
    <t>Avg Sales</t>
  </si>
  <si>
    <t>Products</t>
  </si>
  <si>
    <t>Qunatity</t>
  </si>
  <si>
    <t xml:space="preserve">Sugar </t>
  </si>
  <si>
    <t xml:space="preserve">SUM </t>
  </si>
  <si>
    <t>Total Revenue</t>
  </si>
  <si>
    <t xml:space="preserve">Atta </t>
  </si>
  <si>
    <t>Total Expense</t>
  </si>
  <si>
    <t>Average Expense</t>
  </si>
  <si>
    <t>Avg Expense</t>
  </si>
  <si>
    <t>COGS (Cost of Good Sold)</t>
  </si>
  <si>
    <t>Total Profit per Day</t>
  </si>
  <si>
    <t>Average CP</t>
  </si>
  <si>
    <t>Average SP</t>
  </si>
  <si>
    <t xml:space="preserve">   </t>
  </si>
  <si>
    <t>Revenue %</t>
  </si>
  <si>
    <t>Profit %</t>
  </si>
  <si>
    <t>Profit Margin</t>
  </si>
  <si>
    <t>SUM</t>
  </si>
  <si>
    <t>AVG</t>
  </si>
  <si>
    <t>Cummulative Percentage</t>
  </si>
  <si>
    <t>Total Profit</t>
  </si>
  <si>
    <t>Total Inventory</t>
  </si>
  <si>
    <t>Average Inventory</t>
  </si>
  <si>
    <t>Avg. Inventory</t>
  </si>
  <si>
    <t xml:space="preserve">Stock </t>
  </si>
  <si>
    <t>Stock%</t>
  </si>
  <si>
    <t>Category</t>
  </si>
  <si>
    <t>Count of Products</t>
  </si>
  <si>
    <t>A</t>
  </si>
  <si>
    <t>B</t>
  </si>
  <si>
    <t>C</t>
  </si>
  <si>
    <t>Avg CP</t>
  </si>
  <si>
    <t>Customer_ID</t>
  </si>
  <si>
    <t>Customer_Name</t>
  </si>
  <si>
    <t>Age_Group</t>
  </si>
  <si>
    <t>Gender</t>
  </si>
  <si>
    <t>Income_Level</t>
  </si>
  <si>
    <t>Shopping_Frequency</t>
  </si>
  <si>
    <t>Preferred_Purchase_Channel</t>
  </si>
  <si>
    <t>Price_Sensitivity</t>
  </si>
  <si>
    <t>Loyalty_Score</t>
  </si>
  <si>
    <t>Switching_Reason</t>
  </si>
  <si>
    <t>Product_Preferences</t>
  </si>
  <si>
    <t>Offers_Response</t>
  </si>
  <si>
    <t>Competition_Visited</t>
  </si>
  <si>
    <t>Retention_Suggestion</t>
  </si>
  <si>
    <t>C001</t>
  </si>
  <si>
    <t>Yuvraj Joshi</t>
  </si>
  <si>
    <t>18-25</t>
  </si>
  <si>
    <t>Male</t>
  </si>
  <si>
    <t>40K-60K</t>
  </si>
  <si>
    <t>Low (1-2)</t>
  </si>
  <si>
    <t>In-store</t>
  </si>
  <si>
    <t>High</t>
  </si>
  <si>
    <t>prefer not to say</t>
  </si>
  <si>
    <t>Dairy</t>
  </si>
  <si>
    <t>Yes</t>
  </si>
  <si>
    <t>Improve stock availability</t>
  </si>
  <si>
    <t>C002</t>
  </si>
  <si>
    <t>Miraan Lala</t>
  </si>
  <si>
    <t>26-35</t>
  </si>
  <si>
    <t>&lt;20K</t>
  </si>
  <si>
    <t>High (6+)</t>
  </si>
  <si>
    <t>Medium</t>
  </si>
  <si>
    <t>Snacks, Dairy</t>
  </si>
  <si>
    <t>Sometimes</t>
  </si>
  <si>
    <t>No</t>
  </si>
  <si>
    <t>More competitive pricing needed</t>
  </si>
  <si>
    <t>C003</t>
  </si>
  <si>
    <t>Alia Kari</t>
  </si>
  <si>
    <t>Other</t>
  </si>
  <si>
    <t>60K+</t>
  </si>
  <si>
    <t>Medium (3-5)</t>
  </si>
  <si>
    <t>Online</t>
  </si>
  <si>
    <t>Staples</t>
  </si>
  <si>
    <t>Love the variety — keep it up</t>
  </si>
  <si>
    <t>C004</t>
  </si>
  <si>
    <t>Raghav Rattan</t>
  </si>
  <si>
    <t>36-45</t>
  </si>
  <si>
    <t>Both</t>
  </si>
  <si>
    <t>Price</t>
  </si>
  <si>
    <t>Staples, Personal Care</t>
  </si>
  <si>
    <t>Home delivery option please</t>
  </si>
  <si>
    <t>C005</t>
  </si>
  <si>
    <t>Adira Babu</t>
  </si>
  <si>
    <t>20K-40K</t>
  </si>
  <si>
    <t>Low</t>
  </si>
  <si>
    <t>Personal Care, Snacks</t>
  </si>
  <si>
    <t>Introduce loyalty rewards</t>
  </si>
  <si>
    <t>C006</t>
  </si>
  <si>
    <t>Aaryahi Dhingra</t>
  </si>
  <si>
    <t>Female</t>
  </si>
  <si>
    <t>Snacks</t>
  </si>
  <si>
    <t>Offer weekend discounts</t>
  </si>
  <si>
    <t>C007</t>
  </si>
  <si>
    <t>Kartik Deshmukh</t>
  </si>
  <si>
    <t>Friendly staff is appreciated</t>
  </si>
  <si>
    <t>C008</t>
  </si>
  <si>
    <t>Hansh Kari</t>
  </si>
  <si>
    <t>Personal Care</t>
  </si>
  <si>
    <t>C009</t>
  </si>
  <si>
    <t>Faiyaz Konda</t>
  </si>
  <si>
    <t>60+</t>
  </si>
  <si>
    <t>Staples, Dairy</t>
  </si>
  <si>
    <t>C010</t>
  </si>
  <si>
    <t>Divyansh Lad</t>
  </si>
  <si>
    <t>46-60</t>
  </si>
  <si>
    <t>Convenience</t>
  </si>
  <si>
    <t>C011</t>
  </si>
  <si>
    <t>Tiya Krish</t>
  </si>
  <si>
    <t>Service</t>
  </si>
  <si>
    <t>C012</t>
  </si>
  <si>
    <t>Oorja Sengupta</t>
  </si>
  <si>
    <t>C013</t>
  </si>
  <si>
    <t>Nayantara Raja</t>
  </si>
  <si>
    <t>C014</t>
  </si>
  <si>
    <t>Taran Manne</t>
  </si>
  <si>
    <t>Variety</t>
  </si>
  <si>
    <t>Dairy, Personal Care</t>
  </si>
  <si>
    <t>Add more organic products</t>
  </si>
  <si>
    <t>C015</t>
  </si>
  <si>
    <t>Aaina Venkataraman</t>
  </si>
  <si>
    <t>C016</t>
  </si>
  <si>
    <t>Zain Sampath</t>
  </si>
  <si>
    <t>Snacks, Personal Care</t>
  </si>
  <si>
    <t>C017</t>
  </si>
  <si>
    <t>Ishita Kunda</t>
  </si>
  <si>
    <t>Dairy, Snacks</t>
  </si>
  <si>
    <t>C018</t>
  </si>
  <si>
    <t>Vardaniya Srinivas</t>
  </si>
  <si>
    <t>C019</t>
  </si>
  <si>
    <t>Vanya Rajagopal</t>
  </si>
  <si>
    <t>C020</t>
  </si>
  <si>
    <t>Bhamini Devan</t>
  </si>
  <si>
    <t>C021</t>
  </si>
  <si>
    <t>Saksham Jhaveri</t>
  </si>
  <si>
    <t>C022</t>
  </si>
  <si>
    <t>Emir Bahl</t>
  </si>
  <si>
    <t>C023</t>
  </si>
  <si>
    <t>Samarth Kade</t>
  </si>
  <si>
    <t>C024</t>
  </si>
  <si>
    <t>Fateh Bajaj</t>
  </si>
  <si>
    <t>C025</t>
  </si>
  <si>
    <t>Sahil Borde</t>
  </si>
  <si>
    <t>Personal Care, Staples</t>
  </si>
  <si>
    <t>C026</t>
  </si>
  <si>
    <t>Ayesha Sahni</t>
  </si>
  <si>
    <t>C027</t>
  </si>
  <si>
    <t>Uthkarsh Khanna</t>
  </si>
  <si>
    <t>C028</t>
  </si>
  <si>
    <t>Akarsh Dewan</t>
  </si>
  <si>
    <t>C029</t>
  </si>
  <si>
    <t>Nirvi Bhargava</t>
  </si>
  <si>
    <t>C030</t>
  </si>
  <si>
    <t>Stuvan Wable</t>
  </si>
  <si>
    <t>C031</t>
  </si>
  <si>
    <t>Hazel Loke</t>
  </si>
  <si>
    <t>Staples, Snacks</t>
  </si>
  <si>
    <t>C032</t>
  </si>
  <si>
    <t>Kabir Madan</t>
  </si>
  <si>
    <t>C033</t>
  </si>
  <si>
    <t>Anay Barad</t>
  </si>
  <si>
    <t>C034</t>
  </si>
  <si>
    <t>Trisha Shroff</t>
  </si>
  <si>
    <t>C035</t>
  </si>
  <si>
    <t>Shlok Balan</t>
  </si>
  <si>
    <t>Personal Care, Dairy</t>
  </si>
  <si>
    <t>C036</t>
  </si>
  <si>
    <t>Kanav Venkataraman</t>
  </si>
  <si>
    <t>C037</t>
  </si>
  <si>
    <t>Rati Dhaliwal</t>
  </si>
  <si>
    <t>C038</t>
  </si>
  <si>
    <t>Gatik Varty</t>
  </si>
  <si>
    <t>C039</t>
  </si>
  <si>
    <t>Reyansh Divan</t>
  </si>
  <si>
    <t>C040</t>
  </si>
  <si>
    <t>Azad Sachdeva</t>
  </si>
  <si>
    <t>C041</t>
  </si>
  <si>
    <t>Vivaan Wali</t>
  </si>
  <si>
    <t>C042</t>
  </si>
  <si>
    <t>Jivin Sastry</t>
  </si>
  <si>
    <t>C043</t>
  </si>
  <si>
    <t>Ivan Devi</t>
  </si>
  <si>
    <t>C044</t>
  </si>
  <si>
    <t>Madhav Bhalla</t>
  </si>
  <si>
    <t>C045</t>
  </si>
  <si>
    <t>Dhanush Soni</t>
  </si>
  <si>
    <t>C046</t>
  </si>
  <si>
    <t>Gatik Taneja</t>
  </si>
  <si>
    <t>C047</t>
  </si>
  <si>
    <t>Nirvaan Kuruvilla</t>
  </si>
  <si>
    <t>C048</t>
  </si>
  <si>
    <t>Aaryahi Chawla</t>
  </si>
  <si>
    <t>C049</t>
  </si>
  <si>
    <t>Siya Badami</t>
  </si>
  <si>
    <t>C050</t>
  </si>
  <si>
    <t>Urvi Kapur</t>
  </si>
  <si>
    <t>C051</t>
  </si>
  <si>
    <t>Shamik Sibal</t>
  </si>
  <si>
    <t>C052</t>
  </si>
  <si>
    <t>Pranay Wali</t>
  </si>
  <si>
    <t>C053</t>
  </si>
  <si>
    <t>Veer Sheth</t>
  </si>
  <si>
    <t>C054</t>
  </si>
  <si>
    <t>Aradhya Lanka</t>
  </si>
  <si>
    <t>C055</t>
  </si>
  <si>
    <t>Aarna Dayal</t>
  </si>
  <si>
    <t>C056</t>
  </si>
  <si>
    <t>Shaan Chopra</t>
  </si>
  <si>
    <t>C057</t>
  </si>
  <si>
    <t>Samiha Dhar</t>
  </si>
  <si>
    <t>C058</t>
  </si>
  <si>
    <t>Alia Bawa</t>
  </si>
  <si>
    <t>C059</t>
  </si>
  <si>
    <t>Kabir Ganesan</t>
  </si>
  <si>
    <t>C060</t>
  </si>
  <si>
    <t>Suhana Dhar</t>
  </si>
  <si>
    <t>C061</t>
  </si>
  <si>
    <t>Ayesha Master</t>
  </si>
  <si>
    <t>C062</t>
  </si>
  <si>
    <t>Dhanush Ramanathan</t>
  </si>
  <si>
    <t>C063</t>
  </si>
  <si>
    <t>Advika Doctor</t>
  </si>
  <si>
    <t>C064</t>
  </si>
  <si>
    <t>Nehmat Dewan</t>
  </si>
  <si>
    <t>C065</t>
  </si>
  <si>
    <t>Rhea Banik</t>
  </si>
  <si>
    <t>C066</t>
  </si>
  <si>
    <t>Ehsaan Dada</t>
  </si>
  <si>
    <t>C067</t>
  </si>
  <si>
    <t>Yuvraj Vohra</t>
  </si>
  <si>
    <t>Dairy, Staples</t>
  </si>
  <si>
    <t>C068</t>
  </si>
  <si>
    <t>Siya Chokshi</t>
  </si>
  <si>
    <t>C069</t>
  </si>
  <si>
    <t>Piya Singh</t>
  </si>
  <si>
    <t>C070</t>
  </si>
  <si>
    <t>Ehsaan Chawla</t>
  </si>
  <si>
    <t>C071</t>
  </si>
  <si>
    <t>Anahita Tank</t>
  </si>
  <si>
    <t>C072</t>
  </si>
  <si>
    <t>Taran Bhatt</t>
  </si>
  <si>
    <t>C073</t>
  </si>
  <si>
    <t>Divij Vora</t>
  </si>
  <si>
    <t>C074</t>
  </si>
  <si>
    <t>Seher Koshy</t>
  </si>
  <si>
    <t>C075</t>
  </si>
  <si>
    <t>Siya Bhattacharyya</t>
  </si>
  <si>
    <t>C076</t>
  </si>
  <si>
    <t>Ishaan Ravi</t>
  </si>
  <si>
    <t>C077</t>
  </si>
  <si>
    <t>Baiju Batra</t>
  </si>
  <si>
    <t>C078</t>
  </si>
  <si>
    <t>Indrans Sehgal</t>
  </si>
  <si>
    <t>C079</t>
  </si>
  <si>
    <t>Ojas Ramachandran</t>
  </si>
  <si>
    <t>C080</t>
  </si>
  <si>
    <t>Farhan Handa</t>
  </si>
  <si>
    <t>C081</t>
  </si>
  <si>
    <t>Kartik Dhar</t>
  </si>
  <si>
    <t>C082</t>
  </si>
  <si>
    <t>Badal Krish</t>
  </si>
  <si>
    <t>C083</t>
  </si>
  <si>
    <t>Ishita Chatterjee</t>
  </si>
  <si>
    <t>C084</t>
  </si>
  <si>
    <t>Lakshay Bhatti</t>
  </si>
  <si>
    <t>C085</t>
  </si>
  <si>
    <t>Yakshit Ramaswamy</t>
  </si>
  <si>
    <t>C086</t>
  </si>
  <si>
    <t>Mamooty Wason</t>
  </si>
  <si>
    <t>C087</t>
  </si>
  <si>
    <t>Tarini Sura</t>
  </si>
  <si>
    <t>C088</t>
  </si>
  <si>
    <t>Aaina Sampath</t>
  </si>
  <si>
    <t>C089</t>
  </si>
  <si>
    <t>Manjari Talwar</t>
  </si>
  <si>
    <t>C090</t>
  </si>
  <si>
    <t>Riaan Taneja</t>
  </si>
  <si>
    <t>C091</t>
  </si>
  <si>
    <t>Gatik Devi</t>
  </si>
  <si>
    <t>C092</t>
  </si>
  <si>
    <t>Madhav Keer</t>
  </si>
  <si>
    <t>C093</t>
  </si>
  <si>
    <t>Hunar Gola</t>
  </si>
  <si>
    <t>C094</t>
  </si>
  <si>
    <t>Aaryahi Dhillon</t>
  </si>
  <si>
    <t>C095</t>
  </si>
  <si>
    <t>Shayak Chanda</t>
  </si>
  <si>
    <t xml:space="preserve">Loyalty Score </t>
  </si>
  <si>
    <t>Customer Count</t>
  </si>
  <si>
    <t>In store</t>
  </si>
  <si>
    <t xml:space="preserve">Age Group </t>
  </si>
  <si>
    <t>Frequency</t>
  </si>
  <si>
    <t xml:space="preserve">What would make you continue shopping with us? (Select all that apply)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</si>
</sst>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M/d/yyyy"/>
    <numFmt numFmtId="166" formatCode="[$₹]#,##0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sz val="10.0"/>
      <color theme="1"/>
      <name val="Aptos Narrow"/>
    </font>
    <font>
      <sz val="11.0"/>
      <color theme="1"/>
      <name val="Aptos Narrow"/>
    </font>
    <font>
      <sz val="10.0"/>
      <color theme="1"/>
      <name val="Arial"/>
    </font>
    <font>
      <sz val="11.0"/>
      <color theme="1"/>
      <name val="Arial"/>
    </font>
    <font>
      <sz val="11.0"/>
      <color theme="4"/>
      <name val="Arial"/>
      <scheme val="minor"/>
    </font>
    <font>
      <sz val="11.0"/>
      <color rgb="FF4285F4"/>
      <name val="Arial"/>
      <scheme val="minor"/>
    </font>
    <font>
      <b/>
      <sz val="12.0"/>
      <color rgb="FF0000FF"/>
      <name val="Arial"/>
      <scheme val="minor"/>
    </font>
    <font>
      <b/>
      <color theme="1"/>
      <name val="Arial"/>
    </font>
    <font>
      <sz val="11.0"/>
      <color rgb="FF4285F4"/>
      <name val="Roboto"/>
    </font>
    <font>
      <b/>
      <sz val="12.0"/>
      <color rgb="FF1155CC"/>
      <name val="Roboto"/>
    </font>
    <font>
      <b/>
      <sz val="12.0"/>
      <color rgb="FF1155CC"/>
      <name val="Arial"/>
      <scheme val="minor"/>
    </font>
    <font>
      <sz val="11.0"/>
      <color rgb="FF4285F4"/>
      <name val="Arial"/>
    </font>
    <font>
      <color rgb="FF000000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b/>
      <sz val="10.0"/>
      <color theme="1"/>
      <name val="Arial"/>
      <scheme val="minor"/>
    </font>
    <font>
      <b/>
      <sz val="11.0"/>
      <color rgb="FFFFFFFF"/>
      <name val="Times New Roman"/>
    </font>
    <font>
      <sz val="11.0"/>
      <color rgb="FF00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8F9FA"/>
        <bgColor rgb="FFF8F9FA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5B3F86"/>
        <bgColor rgb="FF5B3F86"/>
      </patternFill>
    </fill>
    <fill>
      <patternFill patternType="solid">
        <fgColor rgb="FF356854"/>
        <bgColor rgb="FF356854"/>
      </patternFill>
    </fill>
    <fill>
      <patternFill patternType="solid">
        <fgColor rgb="FFF6B26B"/>
        <bgColor rgb="FFF6B26B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vertical="bottom"/>
    </xf>
    <xf borderId="0" fillId="0" fontId="5" numFmtId="165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7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horizontal="right" shrinkToFit="0" vertical="bottom" wrapText="0"/>
    </xf>
    <xf borderId="0" fillId="0" fontId="5" numFmtId="165" xfId="0" applyAlignment="1" applyFont="1" applyNumberFormat="1">
      <alignment readingOrder="0" shrinkToFit="0" vertical="center" wrapText="0"/>
    </xf>
    <xf borderId="0" fillId="3" fontId="5" numFmtId="0" xfId="0" applyAlignment="1" applyFill="1" applyFont="1">
      <alignment shrinkToFit="0" vertical="center" wrapText="0"/>
    </xf>
    <xf borderId="0" fillId="3" fontId="5" numFmtId="0" xfId="0" applyAlignment="1" applyFont="1">
      <alignment shrinkToFit="0" vertical="center" wrapText="0"/>
    </xf>
    <xf borderId="0" fillId="2" fontId="5" numFmtId="0" xfId="0" applyAlignment="1" applyFont="1">
      <alignment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2" fontId="12" numFmtId="0" xfId="0" applyAlignment="1" applyFont="1">
      <alignment horizontal="center" readingOrder="0" shrinkToFit="0" vertical="center" wrapText="0"/>
    </xf>
    <xf borderId="0" fillId="0" fontId="12" numFmtId="2" xfId="0" applyAlignment="1" applyFont="1" applyNumberFormat="1">
      <alignment horizontal="center" readingOrder="0" shrinkToFit="0" vertical="center" wrapText="0"/>
    </xf>
    <xf borderId="0" fillId="0" fontId="5" numFmtId="1" xfId="0" applyAlignment="1" applyFont="1" applyNumberFormat="1">
      <alignment horizontal="center"/>
    </xf>
    <xf borderId="0" fillId="4" fontId="4" numFmtId="0" xfId="0" applyAlignment="1" applyFill="1" applyFont="1">
      <alignment horizontal="center" vertical="bottom"/>
    </xf>
    <xf borderId="0" fillId="5" fontId="4" numFmtId="0" xfId="0" applyAlignment="1" applyFill="1" applyFont="1">
      <alignment horizontal="center" vertical="bottom"/>
    </xf>
    <xf borderId="0" fillId="5" fontId="4" numFmtId="164" xfId="0" applyAlignment="1" applyFont="1" applyNumberFormat="1">
      <alignment horizontal="center" vertical="bottom"/>
    </xf>
    <xf borderId="0" fillId="6" fontId="4" numFmtId="0" xfId="0" applyAlignment="1" applyFill="1" applyFont="1">
      <alignment horizontal="center" vertical="bottom"/>
    </xf>
    <xf borderId="0" fillId="6" fontId="4" numFmtId="164" xfId="0" applyAlignment="1" applyFont="1" applyNumberFormat="1">
      <alignment horizontal="center" vertical="bottom"/>
    </xf>
    <xf borderId="0" fillId="6" fontId="4" numFmtId="0" xfId="0" applyAlignment="1" applyFont="1">
      <alignment horizontal="center" readingOrder="0" vertical="bottom"/>
    </xf>
    <xf borderId="0" fillId="6" fontId="4" numFmtId="0" xfId="0" applyAlignment="1" applyFont="1">
      <alignment horizontal="center" vertical="bottom"/>
    </xf>
    <xf borderId="0" fillId="7" fontId="13" numFmtId="0" xfId="0" applyAlignment="1" applyFill="1" applyFont="1">
      <alignment horizontal="center" readingOrder="0" vertical="bottom"/>
    </xf>
    <xf borderId="0" fillId="8" fontId="13" numFmtId="164" xfId="0" applyAlignment="1" applyFill="1" applyFont="1" applyNumberFormat="1">
      <alignment horizontal="center" vertical="bottom"/>
    </xf>
    <xf borderId="0" fillId="8" fontId="13" numFmtId="0" xfId="0" applyAlignment="1" applyFont="1">
      <alignment horizontal="center" vertical="bottom"/>
    </xf>
    <xf borderId="0" fillId="0" fontId="6" numFmtId="164" xfId="0" applyAlignment="1" applyFont="1" applyNumberFormat="1">
      <alignment readingOrder="0" shrinkToFit="0" vertical="bottom" wrapText="0"/>
    </xf>
    <xf borderId="0" fillId="0" fontId="5" numFmtId="164" xfId="0" applyAlignment="1" applyFont="1" applyNumberForma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8" numFmtId="164" xfId="0" applyAlignment="1" applyFont="1" applyNumberFormat="1">
      <alignment readingOrder="0" shrinkToFit="0" vertical="bottom" wrapText="0"/>
    </xf>
    <xf borderId="0" fillId="3" fontId="8" numFmtId="164" xfId="0" applyAlignment="1" applyFont="1" applyNumberFormat="1">
      <alignment readingOrder="0" shrinkToFit="0" vertical="bottom" wrapText="0"/>
    </xf>
    <xf borderId="0" fillId="2" fontId="5" numFmtId="164" xfId="0" applyAlignment="1" applyFont="1" applyNumberFormat="1">
      <alignment shrinkToFit="0" vertical="center" wrapText="0"/>
    </xf>
    <xf borderId="1" fillId="5" fontId="14" numFmtId="0" xfId="0" applyAlignment="1" applyBorder="1" applyFont="1">
      <alignment readingOrder="0" shrinkToFit="0" vertical="center" wrapText="0"/>
    </xf>
    <xf borderId="2" fillId="5" fontId="14" numFmtId="0" xfId="0" applyAlignment="1" applyBorder="1" applyFont="1">
      <alignment readingOrder="0" shrinkToFit="0" vertical="center" wrapText="0"/>
    </xf>
    <xf borderId="3" fillId="5" fontId="15" numFmtId="0" xfId="0" applyAlignment="1" applyBorder="1" applyFont="1">
      <alignment shrinkToFit="0" vertical="center" wrapText="0"/>
    </xf>
    <xf borderId="0" fillId="9" fontId="4" numFmtId="0" xfId="0" applyAlignment="1" applyFill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0" fontId="1" numFmtId="0" xfId="0" applyFont="1"/>
    <xf borderId="0" fillId="0" fontId="4" numFmtId="164" xfId="0" applyAlignment="1" applyFont="1" applyNumberFormat="1">
      <alignment vertical="bottom"/>
    </xf>
    <xf borderId="0" fillId="0" fontId="6" numFmtId="164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center" wrapText="0"/>
    </xf>
    <xf borderId="0" fillId="0" fontId="8" numFmtId="164" xfId="0" applyAlignment="1" applyFont="1" applyNumberFormat="1">
      <alignment shrinkToFit="0" vertical="bottom" wrapText="0"/>
    </xf>
    <xf borderId="0" fillId="2" fontId="1" numFmtId="164" xfId="0" applyAlignment="1" applyFont="1" applyNumberFormat="1">
      <alignment shrinkToFit="0" vertical="center" wrapText="0"/>
    </xf>
    <xf borderId="0" fillId="10" fontId="5" numFmtId="165" xfId="0" applyAlignment="1" applyFill="1" applyFont="1" applyNumberForma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2" fontId="16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horizontal="center" readingOrder="0" vertical="bottom"/>
    </xf>
    <xf borderId="0" fillId="2" fontId="10" numFmtId="0" xfId="0" applyAlignment="1" applyFont="1">
      <alignment horizontal="center" readingOrder="0" shrinkToFit="0" wrapText="0"/>
    </xf>
    <xf borderId="0" fillId="2" fontId="11" numFmtId="0" xfId="0" applyAlignment="1" applyFont="1">
      <alignment horizontal="center" readingOrder="0" shrinkToFit="0" wrapText="0"/>
    </xf>
    <xf borderId="0" fillId="2" fontId="10" numFmtId="0" xfId="0" applyAlignment="1" applyFont="1">
      <alignment horizontal="center" readingOrder="0"/>
    </xf>
    <xf borderId="0" fillId="2" fontId="11" numFmtId="0" xfId="0" applyAlignment="1" applyFont="1">
      <alignment horizontal="center" readingOrder="0"/>
    </xf>
    <xf borderId="0" fillId="2" fontId="1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0" numFmtId="166" xfId="0" applyAlignment="1" applyFont="1" applyNumberFormat="1">
      <alignment horizontal="center" readingOrder="0" shrinkToFit="0" wrapText="0"/>
    </xf>
    <xf borderId="0" fillId="0" fontId="11" numFmtId="166" xfId="0" applyAlignment="1" applyFont="1" applyNumberFormat="1">
      <alignment horizontal="center" readingOrder="0" shrinkToFit="0" wrapText="0"/>
    </xf>
    <xf borderId="0" fillId="0" fontId="10" numFmtId="166" xfId="0" applyAlignment="1" applyFont="1" applyNumberFormat="1">
      <alignment horizontal="center" readingOrder="0"/>
    </xf>
    <xf borderId="0" fillId="0" fontId="11" numFmtId="166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7" numFmtId="0" xfId="0" applyAlignment="1" applyFont="1">
      <alignment horizontal="center" readingOrder="0" shrinkToFit="0" vertical="bottom" wrapText="0"/>
    </xf>
    <xf borderId="0" fillId="4" fontId="18" numFmtId="0" xfId="0" applyAlignment="1" applyFont="1">
      <alignment horizontal="center" readingOrder="0" shrinkToFit="0" vertical="bottom" wrapText="0"/>
    </xf>
    <xf borderId="0" fillId="4" fontId="18" numFmtId="49" xfId="0" applyAlignment="1" applyFont="1" applyNumberFormat="1">
      <alignment horizontal="center" readingOrder="0" shrinkToFit="0" vertical="bottom" wrapText="0"/>
    </xf>
    <xf borderId="0" fillId="4" fontId="19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center" readingOrder="0" shrinkToFit="0" vertical="bottom" wrapText="0"/>
    </xf>
    <xf borderId="0" fillId="0" fontId="4" numFmtId="10" xfId="0" applyAlignment="1" applyFont="1" applyNumberFormat="1">
      <alignment horizontal="center" readingOrder="0" shrinkToFit="0" vertical="bottom" wrapText="0"/>
    </xf>
    <xf borderId="0" fillId="0" fontId="4" numFmtId="10" xfId="0" applyAlignment="1" applyFont="1" applyNumberFormat="1">
      <alignment horizontal="center" shrinkToFit="0" vertical="bottom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20" numFmtId="0" xfId="0" applyAlignment="1" applyFont="1">
      <alignment horizontal="right" readingOrder="0" shrinkToFit="0" vertical="center" wrapText="0"/>
    </xf>
    <xf borderId="0" fillId="8" fontId="1" numFmtId="164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8" fontId="1" numFmtId="10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horizontal="center" readingOrder="0" shrinkToFit="0" vertical="center" wrapText="0"/>
    </xf>
    <xf borderId="0" fillId="10" fontId="5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0" fillId="11" fontId="1" numFmtId="2" xfId="0" applyAlignment="1" applyFill="1" applyFont="1" applyNumberFormat="1">
      <alignment shrinkToFit="0" vertical="center" wrapText="0"/>
    </xf>
    <xf borderId="0" fillId="2" fontId="16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12" fontId="5" numFmtId="1" xfId="0" applyAlignment="1" applyFill="1" applyFont="1" applyNumberFormat="1">
      <alignment horizontal="center"/>
    </xf>
    <xf borderId="0" fillId="0" fontId="4" numFmtId="2" xfId="0" applyAlignment="1" applyFont="1" applyNumberFormat="1">
      <alignment vertical="bottom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2" xfId="0" applyAlignment="1" applyFont="1" applyNumberFormat="1">
      <alignment horizontal="center" shrinkToFit="0" vertical="center" wrapText="0"/>
    </xf>
    <xf borderId="0" fillId="0" fontId="4" numFmtId="2" xfId="0" applyAlignment="1" applyFont="1" applyNumberFormat="1">
      <alignment horizontal="center" readingOrder="0" shrinkToFit="0" vertical="center" wrapText="0"/>
    </xf>
    <xf borderId="0" fillId="13" fontId="4" numFmtId="2" xfId="0" applyAlignment="1" applyFill="1" applyFont="1" applyNumberFormat="1">
      <alignment horizontal="center" readingOrder="0" vertical="center"/>
    </xf>
    <xf borderId="0" fillId="13" fontId="4" numFmtId="0" xfId="0" applyAlignment="1" applyFont="1">
      <alignment horizontal="center" readingOrder="0" vertical="center"/>
    </xf>
    <xf borderId="0" fillId="12" fontId="4" numFmtId="2" xfId="0" applyAlignment="1" applyFont="1" applyNumberFormat="1">
      <alignment horizontal="center" readingOrder="0" vertical="center"/>
    </xf>
    <xf borderId="0" fillId="12" fontId="4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readingOrder="0" shrinkToFit="0" vertical="center" wrapText="0"/>
    </xf>
    <xf borderId="4" fillId="5" fontId="21" numFmtId="164" xfId="0" applyAlignment="1" applyBorder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bottom" wrapText="0"/>
    </xf>
    <xf borderId="5" fillId="14" fontId="21" numFmtId="164" xfId="0" applyAlignment="1" applyBorder="1" applyFill="1" applyFont="1" applyNumberFormat="1">
      <alignment shrinkToFit="0" vertical="center" wrapText="0"/>
    </xf>
    <xf borderId="5" fillId="14" fontId="21" numFmtId="164" xfId="0" applyAlignment="1" applyBorder="1" applyFont="1" applyNumberFormat="1">
      <alignment readingOrder="0" shrinkToFit="0" vertical="center" wrapText="0"/>
    </xf>
    <xf borderId="1" fillId="5" fontId="21" numFmtId="164" xfId="0" applyAlignment="1" applyBorder="1" applyFont="1" applyNumberFormat="1">
      <alignment shrinkToFit="0" vertical="center" wrapText="0"/>
    </xf>
    <xf borderId="0" fillId="15" fontId="22" numFmtId="0" xfId="0" applyAlignment="1" applyFill="1" applyFont="1">
      <alignment horizontal="center" readingOrder="0" shrinkToFit="0" vertical="center" wrapText="0"/>
    </xf>
    <xf borderId="0" fillId="16" fontId="1" numFmtId="164" xfId="0" applyAlignment="1" applyFill="1" applyFont="1" applyNumberFormat="1">
      <alignment readingOrder="0" shrinkToFit="0" vertical="center" wrapText="0"/>
    </xf>
    <xf borderId="0" fillId="0" fontId="1" numFmtId="165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6" fillId="17" fontId="23" numFmtId="0" xfId="0" applyAlignment="1" applyBorder="1" applyFill="1" applyFont="1">
      <alignment horizontal="center" readingOrder="0" shrinkToFit="0" vertical="top" wrapText="0"/>
    </xf>
    <xf borderId="7" fillId="17" fontId="23" numFmtId="0" xfId="0" applyAlignment="1" applyBorder="1" applyFont="1">
      <alignment horizontal="center" readingOrder="0" shrinkToFit="0" vertical="top" wrapText="0"/>
    </xf>
    <xf borderId="0" fillId="18" fontId="23" numFmtId="0" xfId="0" applyAlignment="1" applyFill="1" applyFont="1">
      <alignment horizontal="center" readingOrder="0" shrinkToFit="0" vertical="top" wrapText="0"/>
    </xf>
    <xf borderId="0" fillId="8" fontId="24" numFmtId="0" xfId="0" applyAlignment="1" applyFont="1">
      <alignment horizontal="center" readingOrder="0" shrinkToFit="0" vertical="bottom" wrapText="0"/>
    </xf>
    <xf borderId="0" fillId="0" fontId="24" numFmtId="0" xfId="0" applyAlignment="1" applyFont="1">
      <alignment horizontal="center" readingOrder="0" shrinkToFit="0" vertical="bottom" wrapText="0"/>
    </xf>
    <xf borderId="0" fillId="0" fontId="24" numFmtId="0" xfId="0" applyAlignment="1" applyFont="1">
      <alignment horizontal="center" readingOrder="0" shrinkToFit="0" vertical="bottom" wrapText="0"/>
    </xf>
    <xf borderId="0" fillId="8" fontId="1" numFmtId="0" xfId="0" applyAlignment="1" applyFont="1">
      <alignment horizontal="center" readingOrder="0"/>
    </xf>
    <xf borderId="0" fillId="16" fontId="24" numFmtId="0" xfId="0" applyAlignment="1" applyFont="1">
      <alignment horizontal="center" readingOrder="0" shrinkToFit="0" vertical="bottom" wrapText="0"/>
    </xf>
    <xf borderId="0" fillId="0" fontId="24" numFmtId="0" xfId="0" applyAlignment="1" applyFont="1">
      <alignment horizontal="center" readingOrder="0" shrinkToFit="0" vertical="bottom" wrapText="0"/>
    </xf>
    <xf borderId="0" fillId="8" fontId="24" numFmtId="0" xfId="0" applyAlignment="1" applyFont="1">
      <alignment horizontal="center" readingOrder="0" shrinkToFit="0" vertical="bottom" wrapText="0"/>
    </xf>
    <xf borderId="0" fillId="19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7" fillId="17" fontId="23" numFmtId="0" xfId="0" applyAlignment="1" applyBorder="1" applyFont="1">
      <alignment horizontal="center" readingOrder="0" shrinkToFit="0" vertical="top" wrapText="0"/>
    </xf>
    <xf borderId="0" fillId="17" fontId="23" numFmtId="0" xfId="0" applyAlignment="1" applyFont="1">
      <alignment horizontal="center" readingOrder="0" shrinkToFit="0" vertical="top" wrapText="0"/>
    </xf>
    <xf borderId="0" fillId="17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</dxfs>
  <tableStyles count="21">
    <tableStyle count="4" pivot="0" name="Descriptive Statist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2" pivot="0" name="Sales-style 2">
      <tableStyleElement dxfId="5" type="firstRowStripe"/>
      <tableStyleElement dxfId="2" type="secondRowStripe"/>
    </tableStyle>
    <tableStyle count="2" pivot="0" name="Sales-style 3">
      <tableStyleElement dxfId="2" type="firstRowStripe"/>
      <tableStyleElement dxfId="3" type="secondRowStripe"/>
    </tableStyle>
    <tableStyle count="4" pivot="0" name="Revenue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COGS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Profit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2" pivot="0" name="Profit-style 2">
      <tableStyleElement dxfId="2" type="firstRowStripe"/>
      <tableStyleElement dxfId="5" type="secondRowStripe"/>
    </tableStyle>
    <tableStyle count="4" pivot="0" name="Profit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fit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fit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fit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fit-style 7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Inventory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2" pivot="0" name="Inventory-style 2">
      <tableStyleElement dxfId="5" type="firstRowStripe"/>
      <tableStyleElement dxfId="2" type="secondRowStripe"/>
    </tableStyle>
    <tableStyle count="4" pivot="0" name="Inventory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st_Price_List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Cost_Price_Lis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urchase_Quantity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Customers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stomers Survey-style">
      <tableStyleElement dxfId="6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and Qunatity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Sales!$D$69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Sales!$C$70:$C$81</c:f>
            </c:strRef>
          </c:cat>
          <c:val>
            <c:numRef>
              <c:f>Sales!$D$70:$D$81</c:f>
              <c:numCache/>
            </c:numRef>
          </c:val>
        </c:ser>
        <c:ser>
          <c:idx val="1"/>
          <c:order val="1"/>
          <c:tx>
            <c:strRef>
              <c:f>Sales!$E$69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Sales!$C$70:$C$81</c:f>
            </c:strRef>
          </c:cat>
          <c:val>
            <c:numRef>
              <c:f>Sales!$E$70:$E$81</c:f>
              <c:numCache/>
            </c:numRef>
          </c:val>
        </c:ser>
        <c:axId val="1014779086"/>
        <c:axId val="2033487520"/>
      </c:barChart>
      <c:catAx>
        <c:axId val="10147790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487520"/>
      </c:catAx>
      <c:valAx>
        <c:axId val="2033487520"/>
        <c:scaling>
          <c:orientation val="minMax"/>
          <c:max val="4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477908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Qunatity Proportion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Sales!$E$69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Sales!$C$70:$C$81</c:f>
            </c:strRef>
          </c:cat>
          <c:val>
            <c:numRef>
              <c:f>Sales!$E$70:$E$81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Sales Trend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 w="19050">
              <a:solidFill>
                <a:srgbClr val="4285F4"/>
              </a:solidFill>
            </a:ln>
          </c:spPr>
          <c:val>
            <c:numRef>
              <c:f>Sales!$O$2:$O$62</c:f>
              <c:numCache/>
            </c:numRef>
          </c:val>
        </c:ser>
        <c:axId val="1314023202"/>
        <c:axId val="1615237253"/>
      </c:areaChart>
      <c:catAx>
        <c:axId val="1314023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237253"/>
      </c:catAx>
      <c:valAx>
        <c:axId val="1615237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0232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of Products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Sales!$E$69</c:f>
            </c:strRef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Sales!$C$70:$C$81</c:f>
            </c:strRef>
          </c:cat>
          <c:val>
            <c:numRef>
              <c:f>Sales!$E$70:$E$81</c:f>
              <c:numCache/>
            </c:numRef>
          </c:val>
        </c:ser>
        <c:axId val="1005552441"/>
        <c:axId val="939626356"/>
      </c:barChart>
      <c:catAx>
        <c:axId val="1005552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626356"/>
      </c:catAx>
      <c:valAx>
        <c:axId val="939626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Qunatity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552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Product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Revenue!$G$69</c:f>
            </c:strRef>
          </c:tx>
          <c:spPr>
            <a:solidFill>
              <a:srgbClr val="76C256"/>
            </a:solidFill>
            <a:ln cmpd="sng">
              <a:solidFill>
                <a:srgbClr val="000000"/>
              </a:solidFill>
            </a:ln>
          </c:spPr>
          <c:cat>
            <c:strRef>
              <c:f>Revenue!$F$70:$F$81</c:f>
            </c:strRef>
          </c:cat>
          <c:val>
            <c:numRef>
              <c:f>Revenue!$G$70:$G$81</c:f>
              <c:numCache/>
            </c:numRef>
          </c:val>
        </c:ser>
        <c:overlap val="100"/>
        <c:axId val="591383638"/>
        <c:axId val="724079131"/>
      </c:barChart>
      <c:catAx>
        <c:axId val="5913836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4079131"/>
      </c:catAx>
      <c:valAx>
        <c:axId val="7240791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13836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Day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FF9900">
                <a:alpha val="50000"/>
              </a:srgbClr>
            </a:solidFill>
            <a:ln cmpd="sng" w="19050">
              <a:solidFill>
                <a:srgbClr val="FF9900">
                  <a:alpha val="100000"/>
                </a:srgbClr>
              </a:solidFill>
            </a:ln>
          </c:spPr>
          <c:cat>
            <c:strRef>
              <c:f>Revenue!$A$1:$A$62</c:f>
            </c:strRef>
          </c:cat>
          <c:val>
            <c:numRef>
              <c:f>Revenue!$N$2:$N$62</c:f>
              <c:numCache/>
            </c:numRef>
          </c:val>
        </c:ser>
        <c:axId val="762916514"/>
        <c:axId val="419703613"/>
      </c:areaChart>
      <c:catAx>
        <c:axId val="762916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703613"/>
      </c:catAx>
      <c:valAx>
        <c:axId val="419703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916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Trend over 2 months</a:t>
            </a:r>
          </a:p>
        </c:rich>
      </c:tx>
      <c:overlay val="0"/>
    </c:title>
    <c:plotArea>
      <c:layout/>
      <c:lineChart>
        <c:ser>
          <c:idx val="0"/>
          <c:order val="0"/>
          <c:tx>
            <c:v>March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Revenue!$N$2:$N$32</c:f>
              <c:numCache/>
            </c:numRef>
          </c:val>
          <c:smooth val="0"/>
        </c:ser>
        <c:ser>
          <c:idx val="1"/>
          <c:order val="1"/>
          <c:tx>
            <c:v>April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Revenue!$N$33:$N$62</c:f>
              <c:numCache/>
            </c:numRef>
          </c:val>
          <c:smooth val="0"/>
        </c:ser>
        <c:axId val="1888645147"/>
        <c:axId val="1971293172"/>
      </c:lineChart>
      <c:catAx>
        <c:axId val="1888645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293172"/>
      </c:catAx>
      <c:valAx>
        <c:axId val="1971293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6451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Cost of Good Sold vs. Products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COGS!$D$67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2"/>
          </c:dPt>
          <c:cat>
            <c:strRef>
              <c:f>COGS!$C$68:$C$79</c:f>
            </c:strRef>
          </c:cat>
          <c:val>
            <c:numRef>
              <c:f>COGS!$D$68:$D$79</c:f>
              <c:numCache/>
            </c:numRef>
          </c:val>
        </c:ser>
        <c:axId val="2143892573"/>
        <c:axId val="377733843"/>
      </c:barChart>
      <c:catAx>
        <c:axId val="2143892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7733843"/>
      </c:catAx>
      <c:valAx>
        <c:axId val="377733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Cost of Good Sold(INR)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8925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Expense Trend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COGS!$A$1:$A$62</c:f>
            </c:strRef>
          </c:cat>
          <c:val>
            <c:numRef>
              <c:f>COGS!$O$2:$O$62</c:f>
              <c:numCache/>
            </c:numRef>
          </c:val>
        </c:ser>
        <c:axId val="1856604387"/>
        <c:axId val="1758834880"/>
      </c:areaChart>
      <c:catAx>
        <c:axId val="1856604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834880"/>
      </c:catAx>
      <c:valAx>
        <c:axId val="1758834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Expense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6043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Relationship between Expense and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Profit!$B$85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Profit!$A$86:$A$146</c:f>
            </c:strRef>
          </c:cat>
          <c:val>
            <c:numRef>
              <c:f>Profit!$B$86:$B$146</c:f>
              <c:numCache/>
            </c:numRef>
          </c:val>
          <c:smooth val="0"/>
        </c:ser>
        <c:ser>
          <c:idx val="1"/>
          <c:order val="1"/>
          <c:tx>
            <c:strRef>
              <c:f>Profit!$C$85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Profit!$A$86:$A$146</c:f>
            </c:strRef>
          </c:cat>
          <c:val>
            <c:numRef>
              <c:f>Profit!$C$86:$C$146</c:f>
              <c:numCache/>
            </c:numRef>
          </c:val>
          <c:smooth val="0"/>
        </c:ser>
        <c:ser>
          <c:idx val="2"/>
          <c:order val="2"/>
          <c:tx>
            <c:strRef>
              <c:f>Profit!$D$85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Profit!$A$86:$A$146</c:f>
            </c:strRef>
          </c:cat>
          <c:val>
            <c:numRef>
              <c:f>Profit!$D$86:$D$146</c:f>
              <c:numCache/>
            </c:numRef>
          </c:val>
          <c:smooth val="0"/>
        </c:ser>
        <c:axId val="376785538"/>
        <c:axId val="1839419344"/>
      </c:lineChart>
      <c:catAx>
        <c:axId val="376785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9419344"/>
      </c:catAx>
      <c:valAx>
        <c:axId val="1839419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67855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and Expense Trend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Profit!$B$85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Pt>
            <c:idx val="13"/>
            <c:spPr>
              <a:solidFill>
                <a:srgbClr val="FFFF00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22"/>
            <c:spPr>
              <a:solidFill>
                <a:schemeClr val="accent6"/>
              </a:solidFill>
              <a:ln cmpd="sng">
                <a:solidFill>
                  <a:srgbClr val="000000">
                    <a:alpha val="50196"/>
                  </a:srgbClr>
                </a:solidFill>
              </a:ln>
            </c:spPr>
          </c:dPt>
          <c:cat>
            <c:strRef>
              <c:f>Profit!$A$86:$A$146</c:f>
            </c:strRef>
          </c:cat>
          <c:val>
            <c:numRef>
              <c:f>Profit!$B$86:$B$146</c:f>
              <c:numCache/>
            </c:numRef>
          </c:val>
        </c:ser>
        <c:axId val="233880337"/>
        <c:axId val="783513724"/>
      </c:barChart>
      <c:lineChart>
        <c:varyColors val="0"/>
        <c:ser>
          <c:idx val="1"/>
          <c:order val="1"/>
          <c:tx>
            <c:strRef>
              <c:f>Profit!$C$85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Profit!$A$86:$A$146</c:f>
            </c:strRef>
          </c:cat>
          <c:val>
            <c:numRef>
              <c:f>Profit!$C$86:$C$146</c:f>
              <c:numCache/>
            </c:numRef>
          </c:val>
          <c:smooth val="0"/>
        </c:ser>
        <c:axId val="233880337"/>
        <c:axId val="783513724"/>
      </c:lineChart>
      <c:catAx>
        <c:axId val="233880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3513724"/>
      </c:catAx>
      <c:valAx>
        <c:axId val="783513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38803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Profit per Day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Profit!$N$1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Profit!$A$2:$A$62</c:f>
            </c:strRef>
          </c:cat>
          <c:val>
            <c:numRef>
              <c:f>Profit!$N$2:$N$62</c:f>
              <c:numCache/>
            </c:numRef>
          </c:val>
        </c:ser>
        <c:axId val="56719417"/>
        <c:axId val="643538167"/>
      </c:areaChart>
      <c:catAx>
        <c:axId val="56719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3538167"/>
      </c:catAx>
      <c:valAx>
        <c:axId val="643538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Profit per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19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Products Profit Distriution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Profit!$G$68</c:f>
            </c:strRef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C343D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Profit!$F$69:$F$80</c:f>
            </c:strRef>
          </c:cat>
          <c:val>
            <c:numRef>
              <c:f>Profit!$G$69:$G$80</c:f>
              <c:numCache/>
            </c:numRef>
          </c:val>
        </c:ser>
        <c:axId val="703511107"/>
        <c:axId val="892427773"/>
      </c:bar3DChart>
      <c:catAx>
        <c:axId val="703511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427773"/>
      </c:catAx>
      <c:valAx>
        <c:axId val="892427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5111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CP vs Average SP</a:t>
            </a:r>
          </a:p>
        </c:rich>
      </c:tx>
      <c:overlay val="0"/>
    </c:title>
    <c:plotArea>
      <c:layout>
        <c:manualLayout>
          <c:xMode val="edge"/>
          <c:yMode val="edge"/>
          <c:x val="0.08540885416666669"/>
          <c:y val="0.2169811320754717"/>
          <c:w val="0.8836744791666669"/>
          <c:h val="0.5605213834592533"/>
        </c:manualLayout>
      </c:layout>
      <c:barChart>
        <c:barDir val="col"/>
        <c:ser>
          <c:idx val="0"/>
          <c:order val="0"/>
          <c:tx>
            <c:v>Average CP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Profit!$R$2:$AC$2</c:f>
            </c:strRef>
          </c:cat>
          <c:val>
            <c:numRef>
              <c:f>Profit!$R$3:$AC$3</c:f>
              <c:numCache/>
            </c:numRef>
          </c:val>
        </c:ser>
        <c:ser>
          <c:idx val="1"/>
          <c:order val="1"/>
          <c:tx>
            <c:v>Average SP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Profit!$R$2:$AC$2</c:f>
            </c:strRef>
          </c:cat>
          <c:val>
            <c:numRef>
              <c:f>Profit!$R$4:$AC$4</c:f>
              <c:numCache/>
            </c:numRef>
          </c:val>
        </c:ser>
        <c:axId val="415867965"/>
        <c:axId val="14037167"/>
      </c:barChart>
      <c:catAx>
        <c:axId val="415867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37167"/>
      </c:catAx>
      <c:valAx>
        <c:axId val="14037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58679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%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Profit!$X$31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Profit!$S$32:$S$43</c:f>
            </c:strRef>
          </c:cat>
          <c:val>
            <c:numRef>
              <c:f>Profit!$X$32:$X$44</c:f>
              <c:numCache/>
            </c:numRef>
          </c:val>
        </c:ser>
        <c:axId val="1678857610"/>
        <c:axId val="1235030228"/>
      </c:barChart>
      <c:catAx>
        <c:axId val="1678857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030228"/>
      </c:catAx>
      <c:valAx>
        <c:axId val="1235030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88576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and Cummulative Percentage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Profit!$S$60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Profit!$R$61:$R$72</c:f>
            </c:strRef>
          </c:cat>
          <c:val>
            <c:numRef>
              <c:f>Profit!$S$61:$S$72</c:f>
              <c:numCache/>
            </c:numRef>
          </c:val>
        </c:ser>
        <c:axId val="1149137761"/>
        <c:axId val="516762325"/>
      </c:barChart>
      <c:catAx>
        <c:axId val="1149137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762325"/>
      </c:catAx>
      <c:valAx>
        <c:axId val="516762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137761"/>
      </c:valAx>
      <c:lineChart>
        <c:varyColors val="0"/>
        <c:ser>
          <c:idx val="1"/>
          <c:order val="1"/>
          <c:tx>
            <c:strRef>
              <c:f>Profit!$U$60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Profit!$R$61:$R$72</c:f>
            </c:strRef>
          </c:cat>
          <c:val>
            <c:numRef>
              <c:f>Profit!$U$61:$U$72</c:f>
              <c:numCache/>
            </c:numRef>
          </c:val>
          <c:smooth val="0"/>
        </c:ser>
        <c:axId val="554938217"/>
        <c:axId val="1175195448"/>
      </c:lineChart>
      <c:catAx>
        <c:axId val="55493821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195448"/>
      </c:catAx>
      <c:valAx>
        <c:axId val="11751954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Cummulative Percentage</a:t>
                </a:r>
              </a:p>
            </c:rich>
          </c:tx>
          <c:layout>
            <c:manualLayout>
              <c:xMode val="edge"/>
              <c:yMode val="edge"/>
              <c:x val="0.9507500000000001"/>
              <c:y val="0.124752920035938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493821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and Cummulative Percentage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Profit!$U$60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Profit!$R$61:$R$72</c:f>
            </c:strRef>
          </c:cat>
          <c:val>
            <c:numRef>
              <c:f>Profit!$U$61:$U$72</c:f>
              <c:numCache/>
            </c:numRef>
          </c:val>
          <c:smooth val="0"/>
        </c:ser>
        <c:axId val="1232041744"/>
        <c:axId val="1845615260"/>
      </c:lineChart>
      <c:catAx>
        <c:axId val="123204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615260"/>
      </c:catAx>
      <c:valAx>
        <c:axId val="1845615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Revenue(INR)</a:t>
                </a:r>
              </a:p>
            </c:rich>
          </c:tx>
          <c:layout>
            <c:manualLayout>
              <c:xMode val="edge"/>
              <c:yMode val="edge"/>
              <c:x val="0.03091666666666667"/>
              <c:y val="0.1732704402515723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041744"/>
      </c:valAx>
      <c:barChart>
        <c:barDir val="col"/>
        <c:ser>
          <c:idx val="1"/>
          <c:order val="1"/>
          <c:tx>
            <c:strRef>
              <c:f>Profit!$Z$60</c:f>
            </c:strRef>
          </c:tx>
          <c:spPr>
            <a:solidFill>
              <a:srgbClr val="76A5AF"/>
            </a:solidFill>
            <a:ln cmpd="sng">
              <a:solidFill>
                <a:srgbClr val="000000"/>
              </a:solidFill>
            </a:ln>
          </c:spPr>
          <c:cat>
            <c:strRef>
              <c:f>Profit!$R$61:$R$72</c:f>
            </c:strRef>
          </c:cat>
          <c:val>
            <c:numRef>
              <c:f>Profit!$Z$61:$Z$72</c:f>
              <c:numCache/>
            </c:numRef>
          </c:val>
        </c:ser>
        <c:axId val="1496658611"/>
        <c:axId val="134371676"/>
      </c:barChart>
      <c:catAx>
        <c:axId val="14966586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371676"/>
      </c:catAx>
      <c:valAx>
        <c:axId val="13437167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Cummulative Percentage</a:t>
                </a:r>
              </a:p>
            </c:rich>
          </c:tx>
          <c:layout>
            <c:manualLayout>
              <c:xMode val="edge"/>
              <c:yMode val="edge"/>
              <c:x val="0.9507500000000001"/>
              <c:y val="0.124752920035938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6586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Margin across Products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Profit!$T$31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Pt>
            <c:idx val="6"/>
          </c:dPt>
          <c:dPt>
            <c:idx val="8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</c:dPt>
          <c:cat>
            <c:strRef>
              <c:f>Profit!$S$32:$S$43</c:f>
            </c:strRef>
          </c:cat>
          <c:val>
            <c:numRef>
              <c:f>Profit!$T$32:$T$43</c:f>
              <c:numCache/>
            </c:numRef>
          </c:val>
        </c:ser>
        <c:axId val="1243829321"/>
        <c:axId val="1653641356"/>
      </c:barChart>
      <c:catAx>
        <c:axId val="1243829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641356"/>
      </c:catAx>
      <c:valAx>
        <c:axId val="1653641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(INR)</a:t>
                </a:r>
              </a:p>
            </c:rich>
          </c:tx>
          <c:layout>
            <c:manualLayout>
              <c:xMode val="edge"/>
              <c:yMode val="edge"/>
              <c:x val="0.03258333333333333"/>
              <c:y val="0.1597933513027852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829321"/>
      </c:valAx>
      <c:lineChart>
        <c:varyColors val="0"/>
        <c:ser>
          <c:idx val="1"/>
          <c:order val="1"/>
          <c:tx>
            <c:strRef>
              <c:f>Profit!$X$31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Profit!$S$32:$S$43</c:f>
            </c:strRef>
          </c:cat>
          <c:val>
            <c:numRef>
              <c:f>Profit!$X$32:$X$44</c:f>
              <c:numCache/>
            </c:numRef>
          </c:val>
          <c:smooth val="0"/>
        </c:ser>
        <c:axId val="1014261050"/>
        <c:axId val="373577544"/>
      </c:lineChart>
      <c:catAx>
        <c:axId val="101426105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577544"/>
      </c:catAx>
      <c:valAx>
        <c:axId val="37357754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 Margin(%)</a:t>
                </a:r>
              </a:p>
            </c:rich>
          </c:tx>
          <c:layout>
            <c:manualLayout>
              <c:xMode val="edge"/>
              <c:yMode val="edge"/>
              <c:x val="0.9507500000000001"/>
              <c:y val="0.140925426774483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426105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% vs Profit %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Profit!$V$31</c:f>
            </c:strRef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cat>
            <c:strRef>
              <c:f>Profit!$S$32:$S$43</c:f>
            </c:strRef>
          </c:cat>
          <c:val>
            <c:numRef>
              <c:f>Profit!$V$32:$V$44</c:f>
              <c:numCache/>
            </c:numRef>
          </c:val>
        </c:ser>
        <c:overlap val="100"/>
        <c:axId val="633948021"/>
        <c:axId val="2056283963"/>
      </c:barChart>
      <c:lineChart>
        <c:varyColors val="0"/>
        <c:ser>
          <c:idx val="1"/>
          <c:order val="1"/>
          <c:tx>
            <c:strRef>
              <c:f>Profit!$W$31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434343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Profit!$S$32:$S$43</c:f>
            </c:strRef>
          </c:cat>
          <c:val>
            <c:numRef>
              <c:f>Profit!$W$32:$W$44</c:f>
              <c:numCache/>
            </c:numRef>
          </c:val>
          <c:smooth val="0"/>
        </c:ser>
        <c:axId val="633948021"/>
        <c:axId val="2056283963"/>
      </c:lineChart>
      <c:catAx>
        <c:axId val="633948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6283963"/>
      </c:catAx>
      <c:valAx>
        <c:axId val="2056283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layout>
            <c:manualLayout>
              <c:xMode val="edge"/>
              <c:yMode val="edge"/>
              <c:x val="0.03091666666666667"/>
              <c:y val="0.1355345911949685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948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% and Profit %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Profit!$V$31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Profit!$S$32:$S$43</c:f>
            </c:strRef>
          </c:cat>
          <c:val>
            <c:numRef>
              <c:f>Profit!$V$32:$V$44</c:f>
              <c:numCache/>
            </c:numRef>
          </c:val>
          <c:smooth val="0"/>
        </c:ser>
        <c:ser>
          <c:idx val="1"/>
          <c:order val="1"/>
          <c:tx>
            <c:strRef>
              <c:f>Profit!$W$31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Profit!$S$32:$S$43</c:f>
            </c:strRef>
          </c:cat>
          <c:val>
            <c:numRef>
              <c:f>Profit!$W$32:$W$44</c:f>
              <c:numCache/>
            </c:numRef>
          </c:val>
          <c:smooth val="0"/>
        </c:ser>
        <c:axId val="1830030580"/>
        <c:axId val="2138513309"/>
      </c:lineChart>
      <c:catAx>
        <c:axId val="1830030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513309"/>
      </c:catAx>
      <c:valAx>
        <c:axId val="2138513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00305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Inventory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Inventory!$A$1:$A$62</c:f>
            </c:strRef>
          </c:cat>
          <c:val>
            <c:numRef>
              <c:f>Inventory!$O$1:$O$62</c:f>
              <c:numCache/>
            </c:numRef>
          </c:val>
          <c:smooth val="1"/>
        </c:ser>
        <c:axId val="2055854171"/>
        <c:axId val="1404610748"/>
      </c:lineChart>
      <c:catAx>
        <c:axId val="2055854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4610748"/>
      </c:catAx>
      <c:valAx>
        <c:axId val="1404610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Inventory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8541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Inventory Stock Level at Store</a:t>
            </a:r>
          </a:p>
        </c:rich>
      </c:tx>
      <c:layout>
        <c:manualLayout>
          <c:xMode val="edge"/>
          <c:yMode val="edge"/>
          <c:x val="0.023391001377067518"/>
          <c:y val="0.029922616005569374"/>
        </c:manualLayout>
      </c:layout>
      <c:overlay val="0"/>
    </c:title>
    <c:plotArea>
      <c:layout>
        <c:manualLayout>
          <c:xMode val="edge"/>
          <c:yMode val="edge"/>
          <c:x val="0.14653190104166658"/>
          <c:y val="0.18834688346883469"/>
          <c:w val="0.7643014322916667"/>
          <c:h val="0.5040650406504065"/>
        </c:manualLayout>
      </c:layout>
      <c:barChart>
        <c:barDir val="col"/>
        <c:ser>
          <c:idx val="0"/>
          <c:order val="0"/>
          <c:tx>
            <c:strRef>
              <c:f>Inventory!$M$73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27BA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27BA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C27BA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C27BA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Inventory!$L$74:$L$85</c:f>
            </c:strRef>
          </c:cat>
          <c:val>
            <c:numRef>
              <c:f>Inventory!$M$74:$M$85</c:f>
              <c:numCache/>
            </c:numRef>
          </c:val>
        </c:ser>
        <c:axId val="475132882"/>
        <c:axId val="948404333"/>
      </c:barChart>
      <c:catAx>
        <c:axId val="475132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404333"/>
      </c:catAx>
      <c:valAx>
        <c:axId val="948404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Inventroy Stock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132882"/>
      </c:valAx>
      <c:lineChart>
        <c:varyColors val="0"/>
        <c:ser>
          <c:idx val="1"/>
          <c:order val="1"/>
          <c:tx>
            <c:strRef>
              <c:f>Inventory!$O$73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Inventory!$L$74:$L$85</c:f>
            </c:strRef>
          </c:cat>
          <c:val>
            <c:numRef>
              <c:f>Inventory!$O$74:$O$85</c:f>
              <c:numCache/>
            </c:numRef>
          </c:val>
          <c:smooth val="0"/>
        </c:ser>
        <c:axId val="1316506841"/>
        <c:axId val="788990644"/>
      </c:lineChart>
      <c:catAx>
        <c:axId val="131650684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8990644"/>
      </c:catAx>
      <c:valAx>
        <c:axId val="78899064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Cummulative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506841"/>
        <c:crosses val="max"/>
      </c:valAx>
    </c:plotArea>
    <c:legend>
      <c:legendPos val="r"/>
      <c:layout>
        <c:manualLayout>
          <c:xMode val="edge"/>
          <c:yMode val="edge"/>
          <c:x val="0.3226378807149306"/>
          <c:y val="0.10888538119045969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Inventory Fluctuation</a:t>
            </a:r>
          </a:p>
        </c:rich>
      </c:tx>
      <c:layout>
        <c:manualLayout>
          <c:xMode val="edge"/>
          <c:yMode val="edge"/>
          <c:x val="0.08295755968169762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Inventory!$B$1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Inventory!$A$2:$A$62</c:f>
            </c:strRef>
          </c:cat>
          <c:val>
            <c:numRef>
              <c:f>Inventory!$B$2:$B$62</c:f>
              <c:numCache/>
            </c:numRef>
          </c:val>
          <c:smooth val="1"/>
        </c:ser>
        <c:ser>
          <c:idx val="1"/>
          <c:order val="1"/>
          <c:tx>
            <c:strRef>
              <c:f>Inventory!$C$1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Inventory!$A$2:$A$62</c:f>
            </c:strRef>
          </c:cat>
          <c:val>
            <c:numRef>
              <c:f>Inventory!$C$2:$C$62</c:f>
              <c:numCache/>
            </c:numRef>
          </c:val>
          <c:smooth val="1"/>
        </c:ser>
        <c:ser>
          <c:idx val="2"/>
          <c:order val="2"/>
          <c:tx>
            <c:strRef>
              <c:f>Inventory!$D$1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Inventory!$A$2:$A$62</c:f>
            </c:strRef>
          </c:cat>
          <c:val>
            <c:numRef>
              <c:f>Inventory!$D$2:$D$62</c:f>
              <c:numCache/>
            </c:numRef>
          </c:val>
          <c:smooth val="1"/>
        </c:ser>
        <c:ser>
          <c:idx val="3"/>
          <c:order val="3"/>
          <c:tx>
            <c:strRef>
              <c:f>Inventory!$E$1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Inventory!$A$2:$A$62</c:f>
            </c:strRef>
          </c:cat>
          <c:val>
            <c:numRef>
              <c:f>Inventory!$E$2:$E$62</c:f>
              <c:numCache/>
            </c:numRef>
          </c:val>
          <c:smooth val="1"/>
        </c:ser>
        <c:ser>
          <c:idx val="4"/>
          <c:order val="4"/>
          <c:tx>
            <c:strRef>
              <c:f>Inventory!$G$1</c:f>
            </c:strRef>
          </c:tx>
          <c:spPr>
            <a:ln cmpd="sng">
              <a:solidFill>
                <a:srgbClr val="F3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Inventory!$A$2:$A$62</c:f>
            </c:strRef>
          </c:cat>
          <c:val>
            <c:numRef>
              <c:f>Inventory!$G$2:$G$62</c:f>
              <c:numCache/>
            </c:numRef>
          </c:val>
          <c:smooth val="1"/>
        </c:ser>
        <c:ser>
          <c:idx val="5"/>
          <c:order val="5"/>
          <c:tx>
            <c:strRef>
              <c:f>Inventory!$K$1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Inventory!$A$2:$A$62</c:f>
            </c:strRef>
          </c:cat>
          <c:val>
            <c:numRef>
              <c:f>Inventory!$K$2:$K$62</c:f>
              <c:numCache/>
            </c:numRef>
          </c:val>
          <c:smooth val="1"/>
        </c:ser>
        <c:axId val="407557579"/>
        <c:axId val="2141849150"/>
      </c:lineChart>
      <c:catAx>
        <c:axId val="407557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849150"/>
      </c:catAx>
      <c:valAx>
        <c:axId val="2141849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Qunatity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7557579"/>
      </c:valAx>
    </c:plotArea>
    <c:legend>
      <c:legendPos val="r"/>
      <c:layout>
        <c:manualLayout>
          <c:xMode val="edge"/>
          <c:yMode val="edge"/>
          <c:x val="0.8666082974137932"/>
          <c:y val="0.2791105121293801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Inventory Fluctuation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Inventory!$H$1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Inventory!$A$2:$A$62</c:f>
            </c:strRef>
          </c:cat>
          <c:val>
            <c:numRef>
              <c:f>Inventory!$H$2:$H$62</c:f>
              <c:numCache/>
            </c:numRef>
          </c:val>
          <c:smooth val="1"/>
        </c:ser>
        <c:ser>
          <c:idx val="1"/>
          <c:order val="1"/>
          <c:tx>
            <c:strRef>
              <c:f>Inventory!$I$1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Inventory!$A$2:$A$62</c:f>
            </c:strRef>
          </c:cat>
          <c:val>
            <c:numRef>
              <c:f>Inventory!$I$2:$I$62</c:f>
              <c:numCache/>
            </c:numRef>
          </c:val>
          <c:smooth val="1"/>
        </c:ser>
        <c:ser>
          <c:idx val="2"/>
          <c:order val="2"/>
          <c:tx>
            <c:strRef>
              <c:f>Inventory!$J$1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Inventory!$A$2:$A$62</c:f>
            </c:strRef>
          </c:cat>
          <c:val>
            <c:numRef>
              <c:f>Inventory!$J$2:$J$62</c:f>
              <c:numCache/>
            </c:numRef>
          </c:val>
          <c:smooth val="1"/>
        </c:ser>
        <c:ser>
          <c:idx val="3"/>
          <c:order val="3"/>
          <c:tx>
            <c:strRef>
              <c:f>Inventory!$L$1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Inventory!$A$2:$A$62</c:f>
            </c:strRef>
          </c:cat>
          <c:val>
            <c:numRef>
              <c:f>Inventory!$L$2:$L$62</c:f>
              <c:numCache/>
            </c:numRef>
          </c:val>
          <c:smooth val="1"/>
        </c:ser>
        <c:ser>
          <c:idx val="4"/>
          <c:order val="4"/>
          <c:tx>
            <c:strRef>
              <c:f>Inventory!$M$1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Inventory!$A$2:$A$62</c:f>
            </c:strRef>
          </c:cat>
          <c:val>
            <c:numRef>
              <c:f>Inventory!$M$2:$M$62</c:f>
              <c:numCache/>
            </c:numRef>
          </c:val>
          <c:smooth val="1"/>
        </c:ser>
        <c:ser>
          <c:idx val="5"/>
          <c:order val="5"/>
          <c:tx>
            <c:strRef>
              <c:f>Inventory!$F$1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Inventory!$A$2:$A$62</c:f>
            </c:strRef>
          </c:cat>
          <c:val>
            <c:numRef>
              <c:f>Inventory!$F$2:$F$62</c:f>
              <c:numCache/>
            </c:numRef>
          </c:val>
          <c:smooth val="1"/>
        </c:ser>
        <c:axId val="309087835"/>
        <c:axId val="322780901"/>
      </c:lineChart>
      <c:catAx>
        <c:axId val="309087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2780901"/>
      </c:catAx>
      <c:valAx>
        <c:axId val="322780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Qunatity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087835"/>
      </c:valAx>
    </c:plotArea>
    <c:legend>
      <c:legendPos val="r"/>
      <c:layout>
        <c:manualLayout>
          <c:xMode val="edge"/>
          <c:yMode val="edge"/>
          <c:x val="0.8107174479166668"/>
          <c:y val="0.2764150943396226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ABC Categgory Distribution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3365074906367037"/>
          <c:y val="0.15813526096544964"/>
          <c:w val="0.8096584293283825"/>
          <c:h val="0.7793647390345504"/>
        </c:manualLayout>
      </c:layout>
      <c:doughnutChart>
        <c:varyColors val="1"/>
        <c:ser>
          <c:idx val="0"/>
          <c:order val="0"/>
          <c:tx>
            <c:strRef>
              <c:f>Inventory!$R$76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/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/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/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Inventory!$Q$77:$Q$79</c:f>
            </c:strRef>
          </c:cat>
          <c:val>
            <c:numRef>
              <c:f>Inventory!$R$77:$R$79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egendEntry>
        <c:idx val="0"/>
        <c:txPr>
          <a:bodyPr/>
          <a:lstStyle/>
          <a:p>
            <a:pPr lvl="0">
              <a:defRPr b="0"/>
            </a:pPr>
          </a:p>
        </c:txPr>
      </c:legendEntry>
      <c:legendEntry>
        <c:idx val="1"/>
        <c:txPr>
          <a:bodyPr/>
          <a:lstStyle/>
          <a:p>
            <a:pPr lvl="0">
              <a:defRPr b="0"/>
            </a:pPr>
          </a:p>
        </c:txPr>
      </c:legendEntry>
      <c:legendEntry>
        <c:idx val="2"/>
        <c:txPr>
          <a:bodyPr/>
          <a:lstStyle/>
          <a:p>
            <a:pPr lvl="0">
              <a:defRPr b="0"/>
            </a:pPr>
          </a:p>
        </c:txPr>
      </c:legendEntry>
      <c:layout>
        <c:manualLayout>
          <c:xMode val="edge"/>
          <c:yMode val="edge"/>
          <c:x val="0.7169464003329171"/>
          <c:y val="0.3817860029798872"/>
        </c:manualLayout>
      </c:layout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Cost_Price_List!$B$1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Cost_Price_List!$A$2:$A$63</c:f>
            </c:strRef>
          </c:cat>
          <c:val>
            <c:numRef>
              <c:f>Cost_Price_List!$B$2:$B$63</c:f>
              <c:numCache/>
            </c:numRef>
          </c:val>
          <c:smooth val="0"/>
        </c:ser>
        <c:ser>
          <c:idx val="1"/>
          <c:order val="1"/>
          <c:tx>
            <c:strRef>
              <c:f>Cost_Price_List!$C$1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Cost_Price_List!$A$2:$A$63</c:f>
            </c:strRef>
          </c:cat>
          <c:val>
            <c:numRef>
              <c:f>Cost_Price_List!$C$2:$C$63</c:f>
              <c:numCache/>
            </c:numRef>
          </c:val>
          <c:smooth val="0"/>
        </c:ser>
        <c:ser>
          <c:idx val="2"/>
          <c:order val="2"/>
          <c:tx>
            <c:strRef>
              <c:f>Cost_Price_List!$D$1</c:f>
            </c:strRef>
          </c:tx>
          <c:spPr>
            <a:ln cmpd="sng" w="19050">
              <a:solidFill>
                <a:srgbClr val="FBBC04"/>
              </a:solidFill>
            </a:ln>
          </c:spPr>
          <c:marker>
            <c:symbol val="none"/>
          </c:marker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cat>
            <c:strRef>
              <c:f>Cost_Price_List!$A$2:$A$63</c:f>
            </c:strRef>
          </c:cat>
          <c:val>
            <c:numRef>
              <c:f>Cost_Price_List!$D$2:$D$63</c:f>
              <c:numCache/>
            </c:numRef>
          </c:val>
          <c:smooth val="0"/>
        </c:ser>
        <c:ser>
          <c:idx val="3"/>
          <c:order val="3"/>
          <c:tx>
            <c:strRef>
              <c:f>Cost_Price_List!$E$1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Cost_Price_List!$A$2:$A$63</c:f>
            </c:strRef>
          </c:cat>
          <c:val>
            <c:numRef>
              <c:f>Cost_Price_List!$E$2:$E$63</c:f>
              <c:numCache/>
            </c:numRef>
          </c:val>
          <c:smooth val="0"/>
        </c:ser>
        <c:ser>
          <c:idx val="4"/>
          <c:order val="4"/>
          <c:tx>
            <c:strRef>
              <c:f>Cost_Price_List!$F$1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Cost_Price_List!$A$2:$A$63</c:f>
            </c:strRef>
          </c:cat>
          <c:val>
            <c:numRef>
              <c:f>Cost_Price_List!$F$2:$F$63</c:f>
              <c:numCache/>
            </c:numRef>
          </c:val>
          <c:smooth val="0"/>
        </c:ser>
        <c:ser>
          <c:idx val="5"/>
          <c:order val="5"/>
          <c:tx>
            <c:strRef>
              <c:f>Cost_Price_List!$G$1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Cost_Price_List!$A$2:$A$63</c:f>
            </c:strRef>
          </c:cat>
          <c:val>
            <c:numRef>
              <c:f>Cost_Price_List!$G$2:$G$63</c:f>
              <c:numCache/>
            </c:numRef>
          </c:val>
          <c:smooth val="0"/>
        </c:ser>
        <c:ser>
          <c:idx val="6"/>
          <c:order val="6"/>
          <c:tx>
            <c:strRef>
              <c:f>Cost_Price_List!$H$1</c:f>
            </c:strRef>
          </c:tx>
          <c:spPr>
            <a:ln cmpd="sng">
              <a:solidFill>
                <a:srgbClr val="0B539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Cost_Price_List!$A$2:$A$63</c:f>
            </c:strRef>
          </c:cat>
          <c:val>
            <c:numRef>
              <c:f>Cost_Price_List!$H$2:$H$63</c:f>
              <c:numCache/>
            </c:numRef>
          </c:val>
          <c:smooth val="0"/>
        </c:ser>
        <c:ser>
          <c:idx val="7"/>
          <c:order val="7"/>
          <c:tx>
            <c:strRef>
              <c:f>Cost_Price_List!$K$1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dPt>
            <c:idx val="51"/>
            <c:marker>
              <c:symbol val="none"/>
            </c:marker>
          </c:dPt>
          <c:dPt>
            <c:idx val="53"/>
            <c:marker>
              <c:symbol val="none"/>
            </c:marker>
          </c:dPt>
          <c:cat>
            <c:strRef>
              <c:f>Cost_Price_List!$A$2:$A$63</c:f>
            </c:strRef>
          </c:cat>
          <c:val>
            <c:numRef>
              <c:f>Cost_Price_List!$K$2:$K$63</c:f>
              <c:numCache/>
            </c:numRef>
          </c:val>
          <c:smooth val="0"/>
        </c:ser>
        <c:ser>
          <c:idx val="8"/>
          <c:order val="8"/>
          <c:tx>
            <c:strRef>
              <c:f>Cost_Price_List!$L$1</c:f>
            </c:strRef>
          </c:tx>
          <c:spPr>
            <a:ln cmpd="sng">
              <a:solidFill>
                <a:srgbClr val="7F6000">
                  <a:alpha val="100000"/>
                </a:srgbClr>
              </a:solidFill>
            </a:ln>
          </c:spPr>
          <c:marker>
            <c:symbol val="none"/>
          </c:marker>
          <c:dPt>
            <c:idx val="22"/>
            <c:marker>
              <c:symbol val="none"/>
            </c:marker>
          </c:dPt>
          <c:dPt>
            <c:idx val="54"/>
            <c:marker>
              <c:symbol val="none"/>
            </c:marker>
          </c:dPt>
          <c:dPt>
            <c:idx val="58"/>
            <c:marker>
              <c:symbol val="none"/>
            </c:marker>
          </c:dPt>
          <c:cat>
            <c:strRef>
              <c:f>Cost_Price_List!$A$2:$A$63</c:f>
            </c:strRef>
          </c:cat>
          <c:val>
            <c:numRef>
              <c:f>Cost_Price_List!$L$2:$L$63</c:f>
              <c:numCache/>
            </c:numRef>
          </c:val>
          <c:smooth val="0"/>
        </c:ser>
        <c:ser>
          <c:idx val="9"/>
          <c:order val="9"/>
          <c:tx>
            <c:strRef>
              <c:f>Cost_Price_List!$M$1</c:f>
            </c:strRef>
          </c:tx>
          <c:spPr>
            <a:ln cmpd="sng">
              <a:solidFill>
                <a:srgbClr val="A64D79">
                  <a:alpha val="100000"/>
                </a:srgbClr>
              </a:solidFill>
            </a:ln>
          </c:spPr>
          <c:marker>
            <c:symbol val="none"/>
          </c:marker>
          <c:dPt>
            <c:idx val="56"/>
            <c:marker>
              <c:symbol val="none"/>
            </c:marker>
          </c:dPt>
          <c:cat>
            <c:strRef>
              <c:f>Cost_Price_List!$A$2:$A$63</c:f>
            </c:strRef>
          </c:cat>
          <c:val>
            <c:numRef>
              <c:f>Cost_Price_List!$M$2:$M$63</c:f>
              <c:numCache/>
            </c:numRef>
          </c:val>
          <c:smooth val="0"/>
        </c:ser>
        <c:axId val="968260520"/>
        <c:axId val="1107851239"/>
      </c:lineChart>
      <c:catAx>
        <c:axId val="968260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7851239"/>
      </c:catAx>
      <c:valAx>
        <c:axId val="1107851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Purchase Price (INR)</a:t>
                </a:r>
              </a:p>
            </c:rich>
          </c:tx>
          <c:layout>
            <c:manualLayout>
              <c:xMode val="edge"/>
              <c:yMode val="edge"/>
              <c:x val="0.03258333333333333"/>
              <c:y val="0.1075920934411500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260520"/>
      </c:valAx>
    </c:plotArea>
    <c:legend>
      <c:legendPos val="r"/>
      <c:layout>
        <c:manualLayout>
          <c:xMode val="edge"/>
          <c:yMode val="edge"/>
          <c:x val="0.8073841145833334"/>
          <c:y val="0.1739892183288409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Purchase Quantity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Purchase_Quantity!$B$1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Purchase_Quantity!$A$2:$A$62</c:f>
            </c:strRef>
          </c:cat>
          <c:val>
            <c:numRef>
              <c:f>Purchase_Quantity!$B$2:$B$62</c:f>
              <c:numCache/>
            </c:numRef>
          </c:val>
        </c:ser>
        <c:ser>
          <c:idx val="1"/>
          <c:order val="1"/>
          <c:tx>
            <c:strRef>
              <c:f>Purchase_Quantity!$C$1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Purchase_Quantity!$A$2:$A$62</c:f>
            </c:strRef>
          </c:cat>
          <c:val>
            <c:numRef>
              <c:f>Purchase_Quantity!$C$2:$C$62</c:f>
              <c:numCache/>
            </c:numRef>
          </c:val>
        </c:ser>
        <c:ser>
          <c:idx val="2"/>
          <c:order val="2"/>
          <c:tx>
            <c:strRef>
              <c:f>Purchase_Quantity!$D$1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Purchase_Quantity!$A$2:$A$62</c:f>
            </c:strRef>
          </c:cat>
          <c:val>
            <c:numRef>
              <c:f>Purchase_Quantity!$D$2:$D$62</c:f>
              <c:numCache/>
            </c:numRef>
          </c:val>
        </c:ser>
        <c:ser>
          <c:idx val="3"/>
          <c:order val="3"/>
          <c:tx>
            <c:strRef>
              <c:f>Purchase_Quantity!$E$1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Purchase_Quantity!$A$2:$A$62</c:f>
            </c:strRef>
          </c:cat>
          <c:val>
            <c:numRef>
              <c:f>Purchase_Quantity!$E$2:$E$62</c:f>
              <c:numCache/>
            </c:numRef>
          </c:val>
        </c:ser>
        <c:ser>
          <c:idx val="4"/>
          <c:order val="4"/>
          <c:tx>
            <c:strRef>
              <c:f>Purchase_Quantity!$F$1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cat>
            <c:strRef>
              <c:f>Purchase_Quantity!$A$2:$A$62</c:f>
            </c:strRef>
          </c:cat>
          <c:val>
            <c:numRef>
              <c:f>Purchase_Quantity!$F$2:$F$62</c:f>
              <c:numCache/>
            </c:numRef>
          </c:val>
        </c:ser>
        <c:ser>
          <c:idx val="5"/>
          <c:order val="5"/>
          <c:tx>
            <c:strRef>
              <c:f>Purchase_Quantity!$G$1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cat>
            <c:strRef>
              <c:f>Purchase_Quantity!$A$2:$A$62</c:f>
            </c:strRef>
          </c:cat>
          <c:val>
            <c:numRef>
              <c:f>Purchase_Quantity!$G$2:$G$62</c:f>
              <c:numCache/>
            </c:numRef>
          </c:val>
        </c:ser>
        <c:ser>
          <c:idx val="6"/>
          <c:order val="6"/>
          <c:tx>
            <c:strRef>
              <c:f>Purchase_Quantity!$H$1</c:f>
            </c:strRef>
          </c:tx>
          <c:spPr>
            <a:solidFill>
              <a:srgbClr val="7BAAF7">
                <a:alpha val="30000"/>
              </a:srgbClr>
            </a:solidFill>
            <a:ln cmpd="sng">
              <a:solidFill>
                <a:srgbClr val="7BAAF7"/>
              </a:solidFill>
            </a:ln>
          </c:spPr>
          <c:cat>
            <c:strRef>
              <c:f>Purchase_Quantity!$A$2:$A$62</c:f>
            </c:strRef>
          </c:cat>
          <c:val>
            <c:numRef>
              <c:f>Purchase_Quantity!$H$2:$H$62</c:f>
              <c:numCache/>
            </c:numRef>
          </c:val>
        </c:ser>
        <c:ser>
          <c:idx val="7"/>
          <c:order val="7"/>
          <c:tx>
            <c:strRef>
              <c:f>Purchase_Quantity!$I$1</c:f>
            </c:strRef>
          </c:tx>
          <c:spPr>
            <a:solidFill>
              <a:srgbClr val="F07B72">
                <a:alpha val="30000"/>
              </a:srgbClr>
            </a:solidFill>
            <a:ln cmpd="sng">
              <a:solidFill>
                <a:srgbClr val="F07B72"/>
              </a:solidFill>
            </a:ln>
          </c:spPr>
          <c:cat>
            <c:strRef>
              <c:f>Purchase_Quantity!$A$2:$A$62</c:f>
            </c:strRef>
          </c:cat>
          <c:val>
            <c:numRef>
              <c:f>Purchase_Quantity!$I$2:$I$62</c:f>
              <c:numCache/>
            </c:numRef>
          </c:val>
        </c:ser>
        <c:ser>
          <c:idx val="8"/>
          <c:order val="8"/>
          <c:tx>
            <c:strRef>
              <c:f>Purchase_Quantity!$J$1</c:f>
            </c:strRef>
          </c:tx>
          <c:spPr>
            <a:solidFill>
              <a:srgbClr val="FCD04F">
                <a:alpha val="30000"/>
              </a:srgbClr>
            </a:solidFill>
            <a:ln cmpd="sng">
              <a:solidFill>
                <a:srgbClr val="FCD04F"/>
              </a:solidFill>
            </a:ln>
          </c:spPr>
          <c:cat>
            <c:strRef>
              <c:f>Purchase_Quantity!$A$2:$A$62</c:f>
            </c:strRef>
          </c:cat>
          <c:val>
            <c:numRef>
              <c:f>Purchase_Quantity!$J$2:$J$62</c:f>
              <c:numCache/>
            </c:numRef>
          </c:val>
        </c:ser>
        <c:ser>
          <c:idx val="9"/>
          <c:order val="9"/>
          <c:tx>
            <c:strRef>
              <c:f>Purchase_Quantity!$K$1</c:f>
            </c:strRef>
          </c:tx>
          <c:spPr>
            <a:solidFill>
              <a:srgbClr val="71C287">
                <a:alpha val="30000"/>
              </a:srgbClr>
            </a:solidFill>
            <a:ln cmpd="sng">
              <a:solidFill>
                <a:srgbClr val="71C287"/>
              </a:solidFill>
            </a:ln>
          </c:spPr>
          <c:cat>
            <c:strRef>
              <c:f>Purchase_Quantity!$A$2:$A$62</c:f>
            </c:strRef>
          </c:cat>
          <c:val>
            <c:numRef>
              <c:f>Purchase_Quantity!$K$2:$K$62</c:f>
              <c:numCache/>
            </c:numRef>
          </c:val>
        </c:ser>
        <c:ser>
          <c:idx val="10"/>
          <c:order val="10"/>
          <c:tx>
            <c:strRef>
              <c:f>Purchase_Quantity!$L$1</c:f>
            </c:strRef>
          </c:tx>
          <c:spPr>
            <a:solidFill>
              <a:srgbClr val="FF994D">
                <a:alpha val="30000"/>
              </a:srgbClr>
            </a:solidFill>
            <a:ln cmpd="sng">
              <a:solidFill>
                <a:srgbClr val="FF994D"/>
              </a:solidFill>
            </a:ln>
          </c:spPr>
          <c:cat>
            <c:strRef>
              <c:f>Purchase_Quantity!$A$2:$A$62</c:f>
            </c:strRef>
          </c:cat>
          <c:val>
            <c:numRef>
              <c:f>Purchase_Quantity!$L$2:$L$62</c:f>
              <c:numCache/>
            </c:numRef>
          </c:val>
        </c:ser>
        <c:axId val="1755168467"/>
        <c:axId val="1657687959"/>
      </c:areaChart>
      <c:catAx>
        <c:axId val="1755168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7687959"/>
      </c:catAx>
      <c:valAx>
        <c:axId val="1657687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168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Preferred Purchase Channel</a:t>
            </a:r>
          </a:p>
        </c:rich>
      </c:tx>
      <c:layout>
        <c:manualLayout>
          <c:xMode val="edge"/>
          <c:yMode val="edge"/>
          <c:x val="0.036736842105263165"/>
          <c:y val="0.06616682256133853"/>
        </c:manualLayout>
      </c:layout>
      <c:overlay val="0"/>
    </c:title>
    <c:plotArea>
      <c:layout>
        <c:manualLayout>
          <c:xMode val="edge"/>
          <c:yMode val="edge"/>
          <c:x val="0.026210526315789448"/>
          <c:y val="0.1871395617070357"/>
          <c:w val="0.6274736842105262"/>
          <c:h val="0.6411476354910386"/>
        </c:manualLayout>
      </c:layout>
      <c:pieChart>
        <c:varyColors val="1"/>
        <c:ser>
          <c:idx val="0"/>
          <c:order val="0"/>
          <c:dPt>
            <c:idx val="0"/>
            <c:explosion val="8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'Customers Data'!$C$104:$E$104</c:f>
            </c:strRef>
          </c:cat>
          <c:val>
            <c:numRef>
              <c:f>'Customers Data'!$C$105:$E$105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5774325657894737"/>
          <c:y val="0.387676246969376"/>
        </c:manualLayout>
      </c:layout>
      <c:overlay val="0"/>
      <c:txPr>
        <a:bodyPr/>
        <a:lstStyle/>
        <a:p>
          <a:pPr lvl="0">
            <a:defRPr b="0" i="0" sz="1200">
              <a:solidFill>
                <a:srgbClr val="000000"/>
              </a:solidFill>
              <a:latin typeface="Verdana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based on Loyalty Score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'Customers Data'!$I$103</c:f>
            </c:strRef>
          </c:tx>
          <c:spPr>
            <a:solidFill>
              <a:srgbClr val="34EBEB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'Customers Data'!$H$104:$H$113</c:f>
            </c:strRef>
          </c:cat>
          <c:val>
            <c:numRef>
              <c:f>'Customers Data'!$I$104:$I$113</c:f>
              <c:numCache/>
            </c:numRef>
          </c:val>
        </c:ser>
        <c:axId val="1700960517"/>
        <c:axId val="693452517"/>
      </c:barChart>
      <c:catAx>
        <c:axId val="1700960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Loyalty Score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452517"/>
      </c:catAx>
      <c:valAx>
        <c:axId val="693452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960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Frequency vs. Age Group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'Customers Data'!$I$118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'Customers Data'!$H$119:$H$123</c:f>
            </c:strRef>
          </c:cat>
          <c:val>
            <c:numRef>
              <c:f>'Customers Data'!$I$119:$I$123</c:f>
              <c:numCache/>
            </c:numRef>
          </c:val>
        </c:ser>
        <c:axId val="1469467648"/>
        <c:axId val="1291140811"/>
      </c:barChart>
      <c:catAx>
        <c:axId val="14694676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1140811"/>
      </c:catAx>
      <c:valAx>
        <c:axId val="12911408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4676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11" Type="http://schemas.openxmlformats.org/officeDocument/2006/relationships/chart" Target="../charts/chart20.xml"/><Relationship Id="rId10" Type="http://schemas.openxmlformats.org/officeDocument/2006/relationships/chart" Target="../charts/chart19.xml"/><Relationship Id="rId9" Type="http://schemas.openxmlformats.org/officeDocument/2006/relationships/chart" Target="../charts/chart18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Relationship Id="rId7" Type="http://schemas.openxmlformats.org/officeDocument/2006/relationships/chart" Target="../charts/chart16.xml"/><Relationship Id="rId8" Type="http://schemas.openxmlformats.org/officeDocument/2006/relationships/chart" Target="../charts/chart1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<Relationship Id="rId5" Type="http://schemas.openxmlformats.org/officeDocument/2006/relationships/chart" Target="../charts/chart2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295275</xdr:colOff>
      <xdr:row>65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542925</xdr:colOff>
      <xdr:row>65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942975</xdr:colOff>
      <xdr:row>84</xdr:row>
      <xdr:rowOff>57150</xdr:rowOff>
    </xdr:from>
    <xdr:ext cx="5067300" cy="3133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542925</xdr:colOff>
      <xdr:row>84</xdr:row>
      <xdr:rowOff>38100</xdr:rowOff>
    </xdr:from>
    <xdr:ext cx="5124450" cy="31623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904875</xdr:colOff>
      <xdr:row>65</xdr:row>
      <xdr:rowOff>57150</xdr:rowOff>
    </xdr:from>
    <xdr:ext cx="7543800" cy="313372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64</xdr:row>
      <xdr:rowOff>104775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638175</xdr:colOff>
      <xdr:row>65</xdr:row>
      <xdr:rowOff>47625</xdr:rowOff>
    </xdr:from>
    <xdr:ext cx="5486400" cy="33909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1362075</xdr:colOff>
      <xdr:row>65</xdr:row>
      <xdr:rowOff>142875</xdr:rowOff>
    </xdr:from>
    <xdr:ext cx="5715000" cy="23050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65</xdr:row>
      <xdr:rowOff>28575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142875</xdr:colOff>
      <xdr:row>65</xdr:row>
      <xdr:rowOff>171450</xdr:rowOff>
    </xdr:from>
    <xdr:ext cx="6915150" cy="33909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657225</xdr:colOff>
      <xdr:row>91</xdr:row>
      <xdr:rowOff>180975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609600</xdr:colOff>
      <xdr:row>105</xdr:row>
      <xdr:rowOff>171450</xdr:rowOff>
    </xdr:from>
    <xdr:ext cx="5819775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66</xdr:row>
      <xdr:rowOff>238125</xdr:rowOff>
    </xdr:from>
    <xdr:ext cx="5972175" cy="39528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457200</xdr:colOff>
      <xdr:row>67</xdr:row>
      <xdr:rowOff>57150</xdr:rowOff>
    </xdr:from>
    <xdr:ext cx="6381750" cy="39528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1009650</xdr:colOff>
      <xdr:row>10</xdr:row>
      <xdr:rowOff>257175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180975</xdr:colOff>
      <xdr:row>45</xdr:row>
      <xdr:rowOff>38100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16</xdr:col>
      <xdr:colOff>1085850</xdr:colOff>
      <xdr:row>72</xdr:row>
      <xdr:rowOff>171450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23</xdr:col>
      <xdr:colOff>419100</xdr:colOff>
      <xdr:row>72</xdr:row>
      <xdr:rowOff>171450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20</xdr:col>
      <xdr:colOff>676275</xdr:colOff>
      <xdr:row>44</xdr:row>
      <xdr:rowOff>161925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24</xdr:col>
      <xdr:colOff>609600</xdr:colOff>
      <xdr:row>30</xdr:row>
      <xdr:rowOff>276225</xdr:rowOff>
    </xdr:from>
    <xdr:ext cx="5715000" cy="35337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24</xdr:col>
      <xdr:colOff>609600</xdr:colOff>
      <xdr:row>17</xdr:row>
      <xdr:rowOff>238125</xdr:rowOff>
    </xdr:from>
    <xdr:ext cx="57150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72</xdr:row>
      <xdr:rowOff>9525</xdr:rowOff>
    </xdr:from>
    <xdr:ext cx="5715000" cy="255270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238125</xdr:colOff>
      <xdr:row>70</xdr:row>
      <xdr:rowOff>57150</xdr:rowOff>
    </xdr:from>
    <xdr:ext cx="5715000" cy="351472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89</xdr:row>
      <xdr:rowOff>47625</xdr:rowOff>
    </xdr:from>
    <xdr:ext cx="7181850" cy="35337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381000</xdr:colOff>
      <xdr:row>89</xdr:row>
      <xdr:rowOff>9525</xdr:rowOff>
    </xdr:from>
    <xdr:ext cx="6886575" cy="3533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942975</xdr:colOff>
      <xdr:row>79</xdr:row>
      <xdr:rowOff>285750</xdr:rowOff>
    </xdr:from>
    <xdr:ext cx="3571875" cy="220980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64</xdr:row>
      <xdr:rowOff>171450</xdr:rowOff>
    </xdr:from>
    <xdr:ext cx="57150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63</xdr:row>
      <xdr:rowOff>47625</xdr:rowOff>
    </xdr:from>
    <xdr:ext cx="57150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1266825</xdr:colOff>
      <xdr:row>106</xdr:row>
      <xdr:rowOff>9525</xdr:rowOff>
    </xdr:from>
    <xdr:ext cx="4524375" cy="275272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676275</xdr:colOff>
      <xdr:row>99</xdr:row>
      <xdr:rowOff>133350</xdr:rowOff>
    </xdr:from>
    <xdr:ext cx="5715000" cy="353377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676275</xdr:colOff>
      <xdr:row>116</xdr:row>
      <xdr:rowOff>133350</xdr:rowOff>
    </xdr:from>
    <xdr:ext cx="5715000" cy="353377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1885950</xdr:colOff>
      <xdr:row>99</xdr:row>
      <xdr:rowOff>133350</xdr:rowOff>
    </xdr:from>
    <xdr:ext cx="6877050" cy="360045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8:J84" displayName="Descriptive_Statistics" name="Descriptive_Statistics" id="1">
  <tableColumns count="10">
    <tableColumn name="Sales" id="1"/>
    <tableColumn name="Column 1" id="2"/>
    <tableColumn name="Revenue" id="3"/>
    <tableColumn name="Column 2" id="4"/>
    <tableColumn name="Expense" id="5"/>
    <tableColumn name="Column 3" id="6"/>
    <tableColumn name="Profit" id="7"/>
    <tableColumn name="Column 4" id="8"/>
    <tableColumn name="Inventory" id="9"/>
    <tableColumn name="Column 5" id="10"/>
  </tableColumns>
  <tableStyleInfo name="Descriptive Statistics-style" showColumnStripes="0" showFirstColumn="1" showLastColumn="1" showRowStripes="1"/>
</table>
</file>

<file path=xl/tables/table2.xml><?xml version="1.0" encoding="utf-8"?>
<table xmlns="http://schemas.openxmlformats.org/spreadsheetml/2006/main" ref="A1:O64" displayName="Sales" name="Sales" id="2">
  <tableColumns count="15">
    <tableColumn name="Date" id="1"/>
    <tableColumn name="Rice" id="2"/>
    <tableColumn name="Sugar" id="3"/>
    <tableColumn name="Cooking Oil" id="4"/>
    <tableColumn name="Atta" id="5"/>
    <tableColumn name="Milk and Dairy" id="6"/>
    <tableColumn name="Ice Cream" id="7"/>
    <tableColumn name="Moong Daal" id="8"/>
    <tableColumn name="Ghee" id="9"/>
    <tableColumn name="Dry Fruits" id="10"/>
    <tableColumn name="Cold Drinks" id="11"/>
    <tableColumn name="Toor Daal" id="12"/>
    <tableColumn name="Urad Daal" id="13"/>
    <tableColumn name="Total Sales" id="14"/>
    <tableColumn name="Average Sales" id="15"/>
  </tableColumns>
  <tableStyleInfo name="Sales-style" showColumnStripes="0" showFirstColumn="1" showLastColumn="1" showRowStripes="1"/>
</table>
</file>

<file path=xl/tables/table3.xml><?xml version="1.0" encoding="utf-8"?>
<table xmlns="http://schemas.openxmlformats.org/spreadsheetml/2006/main" headerRowCount="0" ref="B66:L66" displayName="Table_1" name="Table_1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ale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70:E82" displayName="Table_2" name="Table_2" id="4">
  <tableColumns count="3">
    <tableColumn name="Column1" id="1"/>
    <tableColumn name="Column2" id="2"/>
    <tableColumn name="Column3" id="3"/>
  </tableColumns>
  <tableStyleInfo name="Sales-style 3" showColumnStripes="0" showFirstColumn="1" showLastColumn="1" showRowStripes="1"/>
</table>
</file>

<file path=xl/tables/table5.xml><?xml version="1.0" encoding="utf-8"?>
<table xmlns="http://schemas.openxmlformats.org/spreadsheetml/2006/main" ref="A1:N64" displayName="Revenue" name="Revenue" id="5">
  <tableColumns count="14">
    <tableColumn name="Date" id="1"/>
    <tableColumn name="Rice" id="2"/>
    <tableColumn name="Sugar" id="3"/>
    <tableColumn name="Cooking Oil" id="4"/>
    <tableColumn name="Atta" id="5"/>
    <tableColumn name="Milk and Dairy" id="6"/>
    <tableColumn name="Ice Cream" id="7"/>
    <tableColumn name="Moong Daal" id="8"/>
    <tableColumn name="Ghee" id="9"/>
    <tableColumn name="Dry Fruits" id="10"/>
    <tableColumn name="Cold Drinks" id="11"/>
    <tableColumn name="Toor Daal" id="12"/>
    <tableColumn name="Urad Daal" id="13"/>
    <tableColumn name="Total Revenue" id="14"/>
  </tableColumns>
  <tableStyleInfo name="Revenue-style" showColumnStripes="0" showFirstColumn="1" showLastColumn="1" showRowStripes="1"/>
</table>
</file>

<file path=xl/tables/table6.xml><?xml version="1.0" encoding="utf-8"?>
<table xmlns="http://schemas.openxmlformats.org/spreadsheetml/2006/main" ref="A1:O64" displayName="Expense" name="Expense" id="6">
  <tableColumns count="15">
    <tableColumn name="Date" id="1"/>
    <tableColumn name="Rice" id="2"/>
    <tableColumn name="Sugar" id="3"/>
    <tableColumn name="Cooking Oil" id="4"/>
    <tableColumn name="Atta" id="5"/>
    <tableColumn name="Milk and Dairy" id="6"/>
    <tableColumn name="Ice Cream" id="7"/>
    <tableColumn name="Moong Daal" id="8"/>
    <tableColumn name="Ghee" id="9"/>
    <tableColumn name="Dry Fruits" id="10"/>
    <tableColumn name="Cold Drinks" id="11"/>
    <tableColumn name="Toor Daal" id="12"/>
    <tableColumn name="Urad Daal" id="13"/>
    <tableColumn name="Total Expense" id="14"/>
    <tableColumn name="Average Expense" id="15"/>
  </tableColumns>
  <tableStyleInfo name="COGS-style" showColumnStripes="0" showFirstColumn="1" showLastColumn="1" showRowStripes="1"/>
</table>
</file>

<file path=xl/tables/table7.xml><?xml version="1.0" encoding="utf-8"?>
<table xmlns="http://schemas.openxmlformats.org/spreadsheetml/2006/main" ref="A1:N64" displayName="Profit" name="Profit" id="7">
  <tableColumns count="14">
    <tableColumn name="Date" id="1"/>
    <tableColumn name="Rice" id="2"/>
    <tableColumn name="Sugar" id="3"/>
    <tableColumn name="Cooking Oil" id="4"/>
    <tableColumn name="Atta" id="5"/>
    <tableColumn name="Milk and Dairy" id="6"/>
    <tableColumn name="Ice Cream" id="7"/>
    <tableColumn name="Moong Daal" id="8"/>
    <tableColumn name="Ghee" id="9"/>
    <tableColumn name="Dry Fruits" id="10"/>
    <tableColumn name="Cold Drinks" id="11"/>
    <tableColumn name="Toor Daal" id="12"/>
    <tableColumn name="Urad Daal" id="13"/>
    <tableColumn name="Total Profit per Day" id="14"/>
  </tableColumns>
  <tableStyleInfo name="Profit-style" showColumnStripes="0" showFirstColumn="1" showLastColumn="1" showRowStripes="1"/>
</table>
</file>

<file path=xl/tables/table8.xml><?xml version="1.0" encoding="utf-8"?>
<table xmlns="http://schemas.openxmlformats.org/spreadsheetml/2006/main" headerRowCount="0" ref="R2:AE5" displayName="Table_3" name="Table_3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Profit-style 2" showColumnStripes="0" showFirstColumn="1" showLastColumn="1" showRowStripes="1"/>
</table>
</file>

<file path=xl/tables/table9.xml><?xml version="1.0" encoding="utf-8"?>
<table xmlns="http://schemas.openxmlformats.org/spreadsheetml/2006/main" ref="S31:X44" displayName="Table5" name="Table5" id="9">
  <tableColumns count="6">
    <tableColumn name="Products" id="1"/>
    <tableColumn name="Profit" id="2"/>
    <tableColumn name="Revenue" id="3"/>
    <tableColumn name="Revenue %" id="4"/>
    <tableColumn name="Profit %" id="5"/>
    <tableColumn name="Profit Margin" id="6"/>
  </tableColumns>
  <tableStyleInfo name="Profit-style 3" showColumnStripes="0" showFirstColumn="1" showLastColumn="1" showRowStripes="1"/>
</table>
</file>

<file path=xl/tables/table10.xml><?xml version="1.0" encoding="utf-8"?>
<table xmlns="http://schemas.openxmlformats.org/spreadsheetml/2006/main" ref="R60:U72" displayName="Table6" name="Table6" id="10">
  <tableColumns count="4">
    <tableColumn name="Products" id="1"/>
    <tableColumn name="Profit" id="2"/>
    <tableColumn name="Profit %" id="3"/>
    <tableColumn name="Cummulative Percentage" id="4"/>
  </tableColumns>
  <tableStyleInfo name="Profit-style 4" showColumnStripes="0" showFirstColumn="1" showLastColumn="1" showRowStripes="1"/>
</table>
</file>

<file path=xl/tables/table11.xml><?xml version="1.0" encoding="utf-8"?>
<table xmlns="http://schemas.openxmlformats.org/spreadsheetml/2006/main" ref="Y60:AB72" displayName="Table8" name="Table8" id="11">
  <tableColumns count="4">
    <tableColumn name="Products" id="1"/>
    <tableColumn name="Revenue" id="2"/>
    <tableColumn name="Revenue %" id="3"/>
    <tableColumn name="Cummulative Percentage" id="4"/>
  </tableColumns>
  <tableStyleInfo name="Profit-style 5" showColumnStripes="0" showFirstColumn="1" showLastColumn="1" showRowStripes="1"/>
</table>
</file>

<file path=xl/tables/table12.xml><?xml version="1.0" encoding="utf-8"?>
<table xmlns="http://schemas.openxmlformats.org/spreadsheetml/2006/main" ref="F68:J81" displayName="Profit_Calculation" name="Profit_Calculation" id="12">
  <tableColumns count="5">
    <tableColumn name="Products" id="1"/>
    <tableColumn name="Profit" id="2"/>
    <tableColumn name="Revenue" id="3"/>
    <tableColumn name="Profit %" id="4"/>
    <tableColumn name="Profit Margin" id="5"/>
  </tableColumns>
  <tableStyleInfo name="Profit-style 6" showColumnStripes="0" showFirstColumn="1" showLastColumn="1" showRowStripes="1"/>
</table>
</file>

<file path=xl/tables/table13.xml><?xml version="1.0" encoding="utf-8"?>
<table xmlns="http://schemas.openxmlformats.org/spreadsheetml/2006/main" ref="A85:D146" displayName="Table4" name="Table4" id="13">
  <tableColumns count="4">
    <tableColumn name="Date" id="1"/>
    <tableColumn name="Total Revenue" id="2"/>
    <tableColumn name="Total Expense" id="3"/>
    <tableColumn name="Total Profit per Day" id="4"/>
  </tableColumns>
  <tableStyleInfo name="Profit-style 7" showColumnStripes="0" showFirstColumn="1" showLastColumn="1" showRowStripes="1"/>
</table>
</file>

<file path=xl/tables/table14.xml><?xml version="1.0" encoding="utf-8"?>
<table xmlns="http://schemas.openxmlformats.org/spreadsheetml/2006/main" ref="A1:O64" displayName="Stocks" name="Stocks" id="14">
  <tableColumns count="15">
    <tableColumn name="Date" id="1"/>
    <tableColumn name="Rice" id="2"/>
    <tableColumn name="Sugar" id="3"/>
    <tableColumn name="Cooking Oil" id="4"/>
    <tableColumn name="Atta" id="5"/>
    <tableColumn name="Milk and Dairy" id="6"/>
    <tableColumn name="Ice Cream" id="7"/>
    <tableColumn name="Moong Daal" id="8"/>
    <tableColumn name="Ghee" id="9"/>
    <tableColumn name="Dry Fruits" id="10"/>
    <tableColumn name="Cold Drinks" id="11"/>
    <tableColumn name="Toor Daal" id="12"/>
    <tableColumn name="Urad Daal" id="13"/>
    <tableColumn name="Total Inventory" id="14"/>
    <tableColumn name="Average Inventory" id="15"/>
  </tableColumns>
  <tableStyleInfo name="Inventory-style" showColumnStripes="0" showFirstColumn="1" showLastColumn="1" showRowStripes="1"/>
</table>
</file>

<file path=xl/tables/table15.xml><?xml version="1.0" encoding="utf-8"?>
<table xmlns="http://schemas.openxmlformats.org/spreadsheetml/2006/main" headerRowCount="0" ref="B66:L66" displayName="Table_4" name="Table_4" id="1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Inventory-style 2" showColumnStripes="0" showFirstColumn="1" showLastColumn="1" showRowStripes="1"/>
</table>
</file>

<file path=xl/tables/table16.xml><?xml version="1.0" encoding="utf-8"?>
<table xmlns="http://schemas.openxmlformats.org/spreadsheetml/2006/main" ref="L73:O85" displayName="Table3" name="Table3" id="16">
  <tableColumns count="4">
    <tableColumn name="Products" id="1"/>
    <tableColumn name="Stock " id="2"/>
    <tableColumn name="Stock%" id="3"/>
    <tableColumn name="Cummulative Percentage" id="4"/>
  </tableColumns>
  <tableStyleInfo name="Inventory-style 3" showColumnStripes="0" showFirstColumn="1" showLastColumn="1" showRowStripes="1"/>
</table>
</file>

<file path=xl/tables/table17.xml><?xml version="1.0" encoding="utf-8"?>
<table xmlns="http://schemas.openxmlformats.org/spreadsheetml/2006/main" ref="A1:M63" displayName="Table2" name="Table2" id="17">
  <tableColumns count="13">
    <tableColumn name="Date" id="1"/>
    <tableColumn name="Rice" id="2"/>
    <tableColumn name="Sugar" id="3"/>
    <tableColumn name="Cooking Oil" id="4"/>
    <tableColumn name="Atta" id="5"/>
    <tableColumn name="Milk and Dairy" id="6"/>
    <tableColumn name="Ice Cream" id="7"/>
    <tableColumn name="Moong Daal" id="8"/>
    <tableColumn name="Ghee" id="9"/>
    <tableColumn name="Dry Fruits" id="10"/>
    <tableColumn name="Cold Drinks" id="11"/>
    <tableColumn name="Toor Daal" id="12"/>
    <tableColumn name="Urad Daal" id="13"/>
  </tableColumns>
  <tableStyleInfo name="Cost_Price_List-style" showColumnStripes="0" showFirstColumn="1" showLastColumn="1" showRowStripes="1"/>
</table>
</file>

<file path=xl/tables/table18.xml><?xml version="1.0" encoding="utf-8"?>
<table xmlns="http://schemas.openxmlformats.org/spreadsheetml/2006/main" ref="I67:J79" displayName="Table9" name="Table9" id="18">
  <tableColumns count="2">
    <tableColumn name="Products" id="1"/>
    <tableColumn name="Avg CP" id="2"/>
  </tableColumns>
  <tableStyleInfo name="Cost_Price_List-style 2" showColumnStripes="0" showFirstColumn="1" showLastColumn="1" showRowStripes="1"/>
</table>
</file>

<file path=xl/tables/table19.xml><?xml version="1.0" encoding="utf-8"?>
<table xmlns="http://schemas.openxmlformats.org/spreadsheetml/2006/main" ref="A1:M62" displayName="Table7" name="Table7" id="19">
  <tableColumns count="13">
    <tableColumn name="Date" id="1"/>
    <tableColumn name="Rice" id="2"/>
    <tableColumn name="Sugar" id="3"/>
    <tableColumn name="Cooking Oil" id="4"/>
    <tableColumn name="Atta" id="5"/>
    <tableColumn name="Milk and Dairy" id="6"/>
    <tableColumn name="Ice Cream" id="7"/>
    <tableColumn name="Moong Daal" id="8"/>
    <tableColumn name="Ghee" id="9"/>
    <tableColumn name="Dry Fruits" id="10"/>
    <tableColumn name="Cold Drinks" id="11"/>
    <tableColumn name="Toor Daal" id="12"/>
    <tableColumn name="Urad Daal" id="13"/>
  </tableColumns>
  <tableStyleInfo name="Purchase_Quantity-style" showColumnStripes="0" showFirstColumn="1" showLastColumn="1" showRowStripes="1"/>
</table>
</file>

<file path=xl/tables/table20.xml><?xml version="1.0" encoding="utf-8"?>
<table xmlns="http://schemas.openxmlformats.org/spreadsheetml/2006/main" ref="A1:N96" displayName="Table1" name="Table1" id="20">
  <autoFilter ref="$A$1:$N$96"/>
  <tableColumns count="14">
    <tableColumn name="Customer_ID" id="1"/>
    <tableColumn name="Customer_Name" id="2"/>
    <tableColumn name="Age_Group" id="3"/>
    <tableColumn name="Gender" id="4"/>
    <tableColumn name="Income_Level" id="5"/>
    <tableColumn name="Shopping_Frequency" id="6"/>
    <tableColumn name="Preferred_Purchase_Channel" id="7"/>
    <tableColumn name="Price_Sensitivity" id="8"/>
    <tableColumn name="Loyalty_Score" id="9"/>
    <tableColumn name="Switching_Reason" id="10"/>
    <tableColumn name="Product_Preferences" id="11"/>
    <tableColumn name="Offers_Response" id="12"/>
    <tableColumn name="Competition_Visited" id="13"/>
    <tableColumn name="Retention_Suggestion" id="14"/>
  </tableColumns>
  <tableStyleInfo name="Customers Data-style" showColumnStripes="0" showFirstColumn="1" showLastColumn="1" showRowStripes="1"/>
</table>
</file>

<file path=xl/tables/table21.xml><?xml version="1.0" encoding="utf-8"?>
<table xmlns="http://schemas.openxmlformats.org/spreadsheetml/2006/main" ref="A1:M96" displayName="Form_Responses" name="Form_Responses" id="21">
  <tableColumns count="13">
    <tableColumn name="Customer_Name" id="1"/>
    <tableColumn name="Age_Group" id="2"/>
    <tableColumn name="Gender" id="3"/>
    <tableColumn name="Income_Level" id="4"/>
    <tableColumn name="Shopping_Frequency" id="5"/>
    <tableColumn name="Preferred_Purchase_Channel" id="6"/>
    <tableColumn name="Price_Sensitivity" id="7"/>
    <tableColumn name="Switching_Reason" id="8"/>
    <tableColumn name="Product_Preferences" id="9"/>
    <tableColumn name="Offers_Response" id="10"/>
    <tableColumn name="Competition_Visited" id="11"/>
    <tableColumn name="Retention_Suggestion" id="12"/>
    <tableColumn name="What would make you continue shopping with us? (Select all that apply)  " id="13"/>
  </tableColumns>
  <tableStyleInfo name="Customers Surve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6FA8DC"/>
      </a:hlink>
      <a:folHlink>
        <a:srgbClr val="6FA8D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9.xml"/><Relationship Id="rId10" Type="http://schemas.openxmlformats.org/officeDocument/2006/relationships/table" Target="../tables/table8.xml"/><Relationship Id="rId13" Type="http://schemas.openxmlformats.org/officeDocument/2006/relationships/table" Target="../tables/table11.xml"/><Relationship Id="rId12" Type="http://schemas.openxmlformats.org/officeDocument/2006/relationships/table" Target="../tables/table10.xml"/><Relationship Id="rId9" Type="http://schemas.openxmlformats.org/officeDocument/2006/relationships/table" Target="../tables/table7.xml"/><Relationship Id="rId15" Type="http://schemas.openxmlformats.org/officeDocument/2006/relationships/table" Target="../tables/table13.xml"/><Relationship Id="rId14" Type="http://schemas.openxmlformats.org/officeDocument/2006/relationships/table" Target="../tables/table1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4.xml"/><Relationship Id="rId6" Type="http://schemas.openxmlformats.org/officeDocument/2006/relationships/table" Target="../tables/table15.xml"/><Relationship Id="rId7" Type="http://schemas.openxmlformats.org/officeDocument/2006/relationships/table" Target="../tables/table1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5.88"/>
    <col customWidth="1" min="3" max="3" width="19.13"/>
    <col customWidth="1" min="4" max="4" width="15.88"/>
    <col customWidth="1" min="5" max="5" width="19.13"/>
    <col customWidth="1" min="6" max="6" width="15.88"/>
    <col customWidth="1" min="7" max="7" width="19.13"/>
    <col customWidth="1" min="8" max="8" width="15.88"/>
    <col customWidth="1" min="9" max="9" width="19.13"/>
    <col customWidth="1" min="10" max="10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338.0</v>
      </c>
      <c r="B2" s="3">
        <v>26661.0</v>
      </c>
      <c r="C2" s="3">
        <v>23803.5</v>
      </c>
      <c r="D2" s="3">
        <v>2857.5</v>
      </c>
      <c r="E2" s="2">
        <v>4794.0</v>
      </c>
    </row>
    <row r="3">
      <c r="A3" s="2">
        <v>340.0</v>
      </c>
      <c r="B3" s="3">
        <v>25762.0</v>
      </c>
      <c r="C3" s="3">
        <v>22633.5</v>
      </c>
      <c r="D3" s="3">
        <v>3128.5</v>
      </c>
      <c r="E3" s="2">
        <v>4498.0</v>
      </c>
    </row>
    <row r="4">
      <c r="A4" s="2">
        <v>279.0</v>
      </c>
      <c r="B4" s="3">
        <v>20658.0</v>
      </c>
      <c r="C4" s="3">
        <v>18493.5</v>
      </c>
      <c r="D4" s="3">
        <v>2164.5</v>
      </c>
      <c r="E4" s="2">
        <v>4195.0</v>
      </c>
    </row>
    <row r="5">
      <c r="A5" s="2">
        <v>286.0</v>
      </c>
      <c r="B5" s="3">
        <v>25197.0</v>
      </c>
      <c r="C5" s="3">
        <v>22291.0</v>
      </c>
      <c r="D5" s="3">
        <v>2906.0</v>
      </c>
      <c r="E5" s="2">
        <v>3928.0</v>
      </c>
    </row>
    <row r="6">
      <c r="A6" s="2">
        <v>316.0</v>
      </c>
      <c r="B6" s="3">
        <v>21356.0</v>
      </c>
      <c r="C6" s="3">
        <v>18823.0</v>
      </c>
      <c r="D6" s="3">
        <v>2533.0</v>
      </c>
      <c r="E6" s="2">
        <v>3684.0</v>
      </c>
    </row>
    <row r="7">
      <c r="A7" s="2">
        <v>323.0</v>
      </c>
      <c r="B7" s="3">
        <v>25089.0</v>
      </c>
      <c r="C7" s="3">
        <v>22384.5</v>
      </c>
      <c r="D7" s="3">
        <v>2704.5</v>
      </c>
      <c r="E7" s="2">
        <v>3415.0</v>
      </c>
    </row>
    <row r="8">
      <c r="A8" s="2">
        <v>322.0</v>
      </c>
      <c r="B8" s="3">
        <v>24268.0</v>
      </c>
      <c r="C8" s="3">
        <v>21514.0</v>
      </c>
      <c r="D8" s="3">
        <v>2754.0</v>
      </c>
      <c r="E8" s="2">
        <v>3125.0</v>
      </c>
    </row>
    <row r="9">
      <c r="A9" s="2">
        <v>284.0</v>
      </c>
      <c r="B9" s="3">
        <v>24272.0</v>
      </c>
      <c r="C9" s="3">
        <v>22019.0</v>
      </c>
      <c r="D9" s="3">
        <v>2253.0</v>
      </c>
      <c r="E9" s="2">
        <v>3269.0</v>
      </c>
    </row>
    <row r="10">
      <c r="A10" s="2">
        <v>268.0</v>
      </c>
      <c r="B10" s="3">
        <v>23197.0</v>
      </c>
      <c r="C10" s="3">
        <v>20695.5</v>
      </c>
      <c r="D10" s="3">
        <v>2501.5</v>
      </c>
      <c r="E10" s="2">
        <v>3181.0</v>
      </c>
    </row>
    <row r="11">
      <c r="A11" s="2">
        <v>327.0</v>
      </c>
      <c r="B11" s="3">
        <v>24253.0</v>
      </c>
      <c r="C11" s="3">
        <v>21608.5</v>
      </c>
      <c r="D11" s="3">
        <v>2644.5</v>
      </c>
      <c r="E11" s="2">
        <v>3616.0</v>
      </c>
    </row>
    <row r="12">
      <c r="A12" s="2">
        <v>424.0</v>
      </c>
      <c r="B12" s="3">
        <v>28373.0</v>
      </c>
      <c r="C12" s="3">
        <v>25280.5</v>
      </c>
      <c r="D12" s="3">
        <v>3092.5</v>
      </c>
      <c r="E12" s="2">
        <v>3556.0</v>
      </c>
    </row>
    <row r="13">
      <c r="A13" s="2">
        <v>357.0</v>
      </c>
      <c r="B13" s="3">
        <v>27552.0</v>
      </c>
      <c r="C13" s="3">
        <v>24772.5</v>
      </c>
      <c r="D13" s="3">
        <v>2779.5</v>
      </c>
      <c r="E13" s="2">
        <v>3184.0</v>
      </c>
    </row>
    <row r="14">
      <c r="A14" s="2">
        <v>376.0</v>
      </c>
      <c r="B14" s="3">
        <v>30669.0</v>
      </c>
      <c r="C14" s="3">
        <v>27466.0</v>
      </c>
      <c r="D14" s="3">
        <v>3203.0</v>
      </c>
      <c r="E14" s="2">
        <v>3653.0</v>
      </c>
    </row>
    <row r="15">
      <c r="A15" s="2">
        <v>281.0</v>
      </c>
      <c r="B15" s="3">
        <v>19241.0</v>
      </c>
      <c r="C15" s="3">
        <v>17227.0</v>
      </c>
      <c r="D15" s="3">
        <v>2014.0</v>
      </c>
      <c r="E15" s="2">
        <v>3331.0</v>
      </c>
    </row>
    <row r="16">
      <c r="A16" s="2">
        <v>258.0</v>
      </c>
      <c r="B16" s="3">
        <v>20704.0</v>
      </c>
      <c r="C16" s="3">
        <v>18172.0</v>
      </c>
      <c r="D16" s="3">
        <v>2532.0</v>
      </c>
      <c r="E16" s="2">
        <v>3668.0</v>
      </c>
    </row>
    <row r="17">
      <c r="A17" s="2">
        <v>391.0</v>
      </c>
      <c r="B17" s="3">
        <v>29548.0</v>
      </c>
      <c r="C17" s="3">
        <v>26570.5</v>
      </c>
      <c r="D17" s="3">
        <v>2977.5</v>
      </c>
      <c r="E17" s="2">
        <v>3459.0</v>
      </c>
    </row>
    <row r="18">
      <c r="A18" s="2">
        <v>238.0</v>
      </c>
      <c r="B18" s="3">
        <v>19670.0</v>
      </c>
      <c r="C18" s="3">
        <v>17611.0</v>
      </c>
      <c r="D18" s="3">
        <v>2059.0</v>
      </c>
      <c r="E18" s="2">
        <v>3126.0</v>
      </c>
    </row>
    <row r="19">
      <c r="A19" s="2">
        <v>305.0</v>
      </c>
      <c r="B19" s="3">
        <v>24098.0</v>
      </c>
      <c r="C19" s="3">
        <v>21427.5</v>
      </c>
      <c r="D19" s="3">
        <v>2670.5</v>
      </c>
      <c r="E19" s="2">
        <v>2909.0</v>
      </c>
    </row>
    <row r="20">
      <c r="A20" s="2">
        <v>367.0</v>
      </c>
      <c r="B20" s="3">
        <v>31307.0</v>
      </c>
      <c r="C20" s="3">
        <v>27829.0</v>
      </c>
      <c r="D20" s="3">
        <v>3478.0</v>
      </c>
      <c r="E20" s="2">
        <v>2864.0</v>
      </c>
    </row>
    <row r="21">
      <c r="A21" s="2">
        <v>287.0</v>
      </c>
      <c r="B21" s="3">
        <v>18945.0</v>
      </c>
      <c r="C21" s="3">
        <v>17043.5</v>
      </c>
      <c r="D21" s="3">
        <v>1901.5</v>
      </c>
      <c r="E21" s="2">
        <v>2551.0</v>
      </c>
    </row>
    <row r="22">
      <c r="A22" s="2">
        <v>357.0</v>
      </c>
      <c r="B22" s="3">
        <v>26640.0</v>
      </c>
      <c r="C22" s="3">
        <v>23684.5</v>
      </c>
      <c r="D22" s="3">
        <v>2955.5</v>
      </c>
      <c r="E22" s="2">
        <v>2355.0</v>
      </c>
    </row>
    <row r="23">
      <c r="A23" s="2">
        <v>303.0</v>
      </c>
      <c r="B23" s="3">
        <v>23405.0</v>
      </c>
      <c r="C23" s="3">
        <v>20928.0</v>
      </c>
      <c r="D23" s="3">
        <v>2477.0</v>
      </c>
      <c r="E23" s="2">
        <v>2654.0</v>
      </c>
    </row>
    <row r="24">
      <c r="A24" s="2">
        <v>403.0</v>
      </c>
      <c r="B24" s="3">
        <v>32615.0</v>
      </c>
      <c r="C24" s="3">
        <v>29034.5</v>
      </c>
      <c r="D24" s="3">
        <v>3580.5</v>
      </c>
      <c r="E24" s="2">
        <v>2379.0</v>
      </c>
    </row>
    <row r="25">
      <c r="A25" s="2">
        <v>283.0</v>
      </c>
      <c r="B25" s="3">
        <v>21530.0</v>
      </c>
      <c r="C25" s="3">
        <v>19447.5</v>
      </c>
      <c r="D25" s="3">
        <v>2082.5</v>
      </c>
      <c r="E25" s="2">
        <v>2529.0</v>
      </c>
    </row>
    <row r="26">
      <c r="A26" s="2">
        <v>320.0</v>
      </c>
      <c r="B26" s="3">
        <v>21850.0</v>
      </c>
      <c r="C26" s="3">
        <v>19432.0</v>
      </c>
      <c r="D26" s="3">
        <v>2418.0</v>
      </c>
      <c r="E26" s="2">
        <v>2289.0</v>
      </c>
    </row>
    <row r="27">
      <c r="A27" s="2">
        <v>330.0</v>
      </c>
      <c r="B27" s="3">
        <v>20743.0</v>
      </c>
      <c r="C27" s="3">
        <v>18504.0</v>
      </c>
      <c r="D27" s="3">
        <v>2239.0</v>
      </c>
      <c r="E27" s="2">
        <v>2610.0</v>
      </c>
    </row>
    <row r="28">
      <c r="A28" s="2">
        <v>288.0</v>
      </c>
      <c r="B28" s="3">
        <v>19856.0</v>
      </c>
      <c r="C28" s="3">
        <v>17889.5</v>
      </c>
      <c r="D28" s="3">
        <v>1966.5</v>
      </c>
      <c r="E28" s="2">
        <v>2332.0</v>
      </c>
    </row>
    <row r="29">
      <c r="A29" s="2">
        <v>256.0</v>
      </c>
      <c r="B29" s="3">
        <v>22998.0</v>
      </c>
      <c r="C29" s="3">
        <v>20735.5</v>
      </c>
      <c r="D29" s="3">
        <v>2262.5</v>
      </c>
      <c r="E29" s="2">
        <v>2286.0</v>
      </c>
    </row>
    <row r="30">
      <c r="A30" s="2">
        <v>258.0</v>
      </c>
      <c r="B30" s="3">
        <v>19696.0</v>
      </c>
      <c r="C30" s="3">
        <v>17480.5</v>
      </c>
      <c r="D30" s="3">
        <v>2215.5</v>
      </c>
      <c r="E30" s="2">
        <v>2514.0</v>
      </c>
    </row>
    <row r="31">
      <c r="A31" s="2">
        <v>268.0</v>
      </c>
      <c r="B31" s="3">
        <v>22348.0</v>
      </c>
      <c r="C31" s="3">
        <v>20315.0</v>
      </c>
      <c r="D31" s="3">
        <v>2033.0</v>
      </c>
      <c r="E31" s="2">
        <v>2492.0</v>
      </c>
    </row>
    <row r="32">
      <c r="A32" s="2">
        <v>328.0</v>
      </c>
      <c r="B32" s="3">
        <v>22691.0</v>
      </c>
      <c r="C32" s="3">
        <v>20211.0</v>
      </c>
      <c r="D32" s="3">
        <v>2480.0</v>
      </c>
      <c r="E32" s="2">
        <v>3091.0</v>
      </c>
    </row>
    <row r="33">
      <c r="A33" s="2">
        <v>280.0</v>
      </c>
      <c r="B33" s="3">
        <v>25783.0</v>
      </c>
      <c r="C33" s="3">
        <v>23102.0</v>
      </c>
      <c r="D33" s="3">
        <v>2681.0</v>
      </c>
      <c r="E33" s="2">
        <v>3094.0</v>
      </c>
    </row>
    <row r="34">
      <c r="A34" s="2">
        <v>266.0</v>
      </c>
      <c r="B34" s="3">
        <v>25930.0</v>
      </c>
      <c r="C34" s="3">
        <v>22736.5</v>
      </c>
      <c r="D34" s="3">
        <v>3193.5</v>
      </c>
      <c r="E34" s="2">
        <v>2868.0</v>
      </c>
    </row>
    <row r="35">
      <c r="A35" s="2">
        <v>351.0</v>
      </c>
      <c r="B35" s="3">
        <v>32109.0</v>
      </c>
      <c r="C35" s="3">
        <v>28327.5</v>
      </c>
      <c r="D35" s="3">
        <v>3781.5</v>
      </c>
      <c r="E35" s="2">
        <v>2706.0</v>
      </c>
    </row>
    <row r="36">
      <c r="A36" s="2">
        <v>389.0</v>
      </c>
      <c r="B36" s="3">
        <v>27308.0</v>
      </c>
      <c r="C36" s="3">
        <v>24572.0</v>
      </c>
      <c r="D36" s="3">
        <v>2736.0</v>
      </c>
      <c r="E36" s="2">
        <v>2381.0</v>
      </c>
    </row>
    <row r="37">
      <c r="A37" s="2">
        <v>300.0</v>
      </c>
      <c r="B37" s="3">
        <v>28688.0</v>
      </c>
      <c r="C37" s="3">
        <v>25198.5</v>
      </c>
      <c r="D37" s="3">
        <v>3489.5</v>
      </c>
      <c r="E37" s="2">
        <v>2623.0</v>
      </c>
    </row>
    <row r="38">
      <c r="A38" s="2">
        <v>414.0</v>
      </c>
      <c r="B38" s="3">
        <v>32370.0</v>
      </c>
      <c r="C38" s="3">
        <v>28808.0</v>
      </c>
      <c r="D38" s="3">
        <v>3562.0</v>
      </c>
      <c r="E38" s="2">
        <v>2800.0</v>
      </c>
    </row>
    <row r="39">
      <c r="A39" s="2">
        <v>268.5</v>
      </c>
      <c r="B39" s="3">
        <v>20584.0</v>
      </c>
      <c r="C39" s="3">
        <v>17932.0</v>
      </c>
      <c r="D39" s="3">
        <v>2652.0</v>
      </c>
      <c r="E39" s="2">
        <v>2675.0</v>
      </c>
    </row>
    <row r="40">
      <c r="A40" s="2">
        <v>276.0</v>
      </c>
      <c r="B40" s="3">
        <v>23618.0</v>
      </c>
      <c r="C40" s="3">
        <v>20828.0</v>
      </c>
      <c r="D40" s="3">
        <v>2790.0</v>
      </c>
      <c r="E40" s="2">
        <v>2598.5</v>
      </c>
    </row>
    <row r="41">
      <c r="A41" s="2">
        <v>317.0</v>
      </c>
      <c r="B41" s="3">
        <v>27092.0</v>
      </c>
      <c r="C41" s="3">
        <v>24262.5</v>
      </c>
      <c r="D41" s="3">
        <v>2829.5</v>
      </c>
      <c r="E41" s="2">
        <v>2424.5</v>
      </c>
    </row>
    <row r="42">
      <c r="A42" s="2">
        <v>342.0</v>
      </c>
      <c r="B42" s="3">
        <v>25276.0</v>
      </c>
      <c r="C42" s="3">
        <v>21909.5</v>
      </c>
      <c r="D42" s="3">
        <v>3366.5</v>
      </c>
      <c r="E42" s="2">
        <v>2968.5</v>
      </c>
    </row>
    <row r="43">
      <c r="A43" s="2">
        <v>287.0</v>
      </c>
      <c r="B43" s="3">
        <v>22222.0</v>
      </c>
      <c r="C43" s="3">
        <v>19163.0</v>
      </c>
      <c r="D43" s="3">
        <v>3059.0</v>
      </c>
      <c r="E43" s="2">
        <v>2675.5</v>
      </c>
    </row>
    <row r="44">
      <c r="A44" s="2">
        <v>284.0</v>
      </c>
      <c r="B44" s="3">
        <v>25126.0</v>
      </c>
      <c r="C44" s="3">
        <v>21952.5</v>
      </c>
      <c r="D44" s="3">
        <v>3173.5</v>
      </c>
      <c r="E44" s="2">
        <v>2417.5</v>
      </c>
    </row>
    <row r="45">
      <c r="A45" s="2">
        <v>315.5</v>
      </c>
      <c r="B45" s="3">
        <v>28208.0</v>
      </c>
      <c r="C45" s="3">
        <v>24449.0</v>
      </c>
      <c r="D45" s="3">
        <v>3759.0</v>
      </c>
      <c r="E45" s="2">
        <v>2798.5</v>
      </c>
    </row>
    <row r="46">
      <c r="A46" s="2">
        <v>280.0</v>
      </c>
      <c r="B46" s="3">
        <v>23770.0</v>
      </c>
      <c r="C46" s="3">
        <v>20729.0</v>
      </c>
      <c r="D46" s="3">
        <v>3041.0</v>
      </c>
      <c r="E46" s="2">
        <v>2650.0</v>
      </c>
    </row>
    <row r="47">
      <c r="A47" s="2">
        <v>375.0</v>
      </c>
      <c r="B47" s="3">
        <v>29804.0</v>
      </c>
      <c r="C47" s="3">
        <v>26675.0</v>
      </c>
      <c r="D47" s="3">
        <v>3129.0</v>
      </c>
      <c r="E47" s="2">
        <v>2606.0</v>
      </c>
    </row>
    <row r="48">
      <c r="A48" s="2">
        <v>312.0</v>
      </c>
      <c r="B48" s="3">
        <v>25834.0</v>
      </c>
      <c r="C48" s="3">
        <v>22818.5</v>
      </c>
      <c r="D48" s="3">
        <v>3015.5</v>
      </c>
      <c r="E48" s="2">
        <v>2698.0</v>
      </c>
    </row>
    <row r="49">
      <c r="A49" s="2">
        <v>298.0</v>
      </c>
      <c r="B49" s="3">
        <v>26898.0</v>
      </c>
      <c r="C49" s="3">
        <v>23834.5</v>
      </c>
      <c r="D49" s="3">
        <v>3063.5</v>
      </c>
      <c r="E49" s="2">
        <v>2418.0</v>
      </c>
    </row>
    <row r="50">
      <c r="A50" s="2">
        <v>310.5</v>
      </c>
      <c r="B50" s="3">
        <v>26531.0</v>
      </c>
      <c r="C50" s="3">
        <v>23770.0</v>
      </c>
      <c r="D50" s="3">
        <v>2761.0</v>
      </c>
      <c r="E50" s="2">
        <v>2706.0</v>
      </c>
    </row>
    <row r="51">
      <c r="A51" s="2">
        <v>292.0</v>
      </c>
      <c r="B51" s="3">
        <v>22506.0</v>
      </c>
      <c r="C51" s="3">
        <v>19986.5</v>
      </c>
      <c r="D51" s="3">
        <v>2519.5</v>
      </c>
      <c r="E51" s="2">
        <v>2457.5</v>
      </c>
    </row>
    <row r="52">
      <c r="A52" s="2">
        <v>308.0</v>
      </c>
      <c r="B52" s="3">
        <v>23154.0</v>
      </c>
      <c r="C52" s="3">
        <v>20076.0</v>
      </c>
      <c r="D52" s="3">
        <v>3078.0</v>
      </c>
      <c r="E52" s="2">
        <v>2200.5</v>
      </c>
    </row>
    <row r="53">
      <c r="A53" s="2">
        <v>254.0</v>
      </c>
      <c r="B53" s="3">
        <v>20412.0</v>
      </c>
      <c r="C53" s="3">
        <v>17830.0</v>
      </c>
      <c r="D53" s="3">
        <v>2582.0</v>
      </c>
      <c r="E53" s="2">
        <v>1993.5</v>
      </c>
    </row>
    <row r="54">
      <c r="A54" s="2">
        <v>339.0</v>
      </c>
      <c r="B54" s="3">
        <v>28212.0</v>
      </c>
      <c r="C54" s="3">
        <v>24894.5</v>
      </c>
      <c r="D54" s="3">
        <v>3317.5</v>
      </c>
      <c r="E54" s="2">
        <v>1781.5</v>
      </c>
    </row>
    <row r="55">
      <c r="A55" s="2">
        <v>270.0</v>
      </c>
      <c r="B55" s="3">
        <v>24156.0</v>
      </c>
      <c r="C55" s="3">
        <v>21028.5</v>
      </c>
      <c r="D55" s="3">
        <v>3127.5</v>
      </c>
      <c r="E55" s="2">
        <v>1826.5</v>
      </c>
    </row>
    <row r="56">
      <c r="A56" s="2">
        <v>238.0</v>
      </c>
      <c r="B56" s="3">
        <v>21258.0</v>
      </c>
      <c r="C56" s="3">
        <v>18417.5</v>
      </c>
      <c r="D56" s="3">
        <v>2840.5</v>
      </c>
      <c r="E56" s="2">
        <v>1598.5</v>
      </c>
    </row>
    <row r="57">
      <c r="A57" s="2">
        <v>239.0</v>
      </c>
      <c r="B57" s="3">
        <v>19484.0</v>
      </c>
      <c r="C57" s="3">
        <v>17165.5</v>
      </c>
      <c r="D57" s="3">
        <v>2318.5</v>
      </c>
      <c r="E57" s="2">
        <v>1604.5</v>
      </c>
    </row>
    <row r="58">
      <c r="A58" s="2">
        <v>363.0</v>
      </c>
      <c r="B58" s="3">
        <v>31036.0</v>
      </c>
      <c r="C58" s="3">
        <v>27664.5</v>
      </c>
      <c r="D58" s="3">
        <v>3371.5</v>
      </c>
      <c r="E58" s="2">
        <v>1617.5</v>
      </c>
    </row>
    <row r="59">
      <c r="A59" s="2">
        <v>305.0</v>
      </c>
      <c r="B59" s="3">
        <v>27516.0</v>
      </c>
      <c r="C59" s="3">
        <v>23958.0</v>
      </c>
      <c r="D59" s="3">
        <v>3558.0</v>
      </c>
      <c r="E59" s="2">
        <v>2497.5</v>
      </c>
    </row>
    <row r="60">
      <c r="A60" s="2">
        <v>247.0</v>
      </c>
      <c r="B60" s="3">
        <v>21078.0</v>
      </c>
      <c r="C60" s="3">
        <v>18348.0</v>
      </c>
      <c r="D60" s="3">
        <v>2730.0</v>
      </c>
      <c r="E60" s="2">
        <v>2313.5</v>
      </c>
    </row>
    <row r="61">
      <c r="A61" s="2">
        <v>265.0</v>
      </c>
      <c r="B61" s="3">
        <v>24270.0</v>
      </c>
      <c r="C61" s="3">
        <v>20982.5</v>
      </c>
      <c r="D61" s="3">
        <v>3287.5</v>
      </c>
      <c r="E61" s="2">
        <v>2115.5</v>
      </c>
    </row>
    <row r="62">
      <c r="A62" s="2">
        <v>411.0</v>
      </c>
      <c r="B62" s="3">
        <v>29542.0</v>
      </c>
      <c r="C62" s="3">
        <v>26261.0</v>
      </c>
      <c r="D62" s="3">
        <v>3281.0</v>
      </c>
      <c r="E62" s="2">
        <v>2147.5</v>
      </c>
    </row>
    <row r="68" ht="22.5" customHeight="1">
      <c r="A68" s="4" t="s">
        <v>0</v>
      </c>
      <c r="B68" s="5" t="s">
        <v>5</v>
      </c>
      <c r="C68" s="4" t="s">
        <v>1</v>
      </c>
      <c r="D68" s="5" t="s">
        <v>6</v>
      </c>
      <c r="E68" s="4" t="s">
        <v>2</v>
      </c>
      <c r="F68" s="5" t="s">
        <v>7</v>
      </c>
      <c r="G68" s="4" t="s">
        <v>3</v>
      </c>
      <c r="H68" s="5" t="s">
        <v>8</v>
      </c>
      <c r="I68" s="4" t="s">
        <v>4</v>
      </c>
      <c r="J68" s="5" t="s">
        <v>9</v>
      </c>
    </row>
    <row r="69" ht="22.5" customHeight="1">
      <c r="A69" s="6" t="s">
        <v>10</v>
      </c>
      <c r="B69" s="7">
        <v>310.77868852459017</v>
      </c>
      <c r="C69" s="6" t="s">
        <v>10</v>
      </c>
      <c r="D69" s="7">
        <v>24835.524590163935</v>
      </c>
      <c r="E69" s="6" t="s">
        <v>10</v>
      </c>
      <c r="F69" s="7">
        <v>22016.524590163935</v>
      </c>
      <c r="G69" s="6" t="s">
        <v>10</v>
      </c>
      <c r="H69" s="7">
        <v>2819.0</v>
      </c>
      <c r="I69" s="6" t="s">
        <v>10</v>
      </c>
      <c r="J69" s="7">
        <v>2783.590163934426</v>
      </c>
    </row>
    <row r="70" ht="22.5" customHeight="1">
      <c r="A70" s="6" t="s">
        <v>11</v>
      </c>
      <c r="B70" s="7">
        <v>6.0176598553979685</v>
      </c>
      <c r="C70" s="6" t="s">
        <v>11</v>
      </c>
      <c r="D70" s="7">
        <v>469.51864876023615</v>
      </c>
      <c r="E70" s="6" t="s">
        <v>11</v>
      </c>
      <c r="F70" s="7">
        <v>421.01462736070187</v>
      </c>
      <c r="G70" s="6" t="s">
        <v>11</v>
      </c>
      <c r="H70" s="7">
        <v>61.10136029179872</v>
      </c>
      <c r="I70" s="6" t="s">
        <v>11</v>
      </c>
      <c r="J70" s="7">
        <v>85.0829782281972</v>
      </c>
    </row>
    <row r="71" ht="22.5" customHeight="1">
      <c r="A71" s="6" t="s">
        <v>12</v>
      </c>
      <c r="B71" s="7">
        <v>305.0</v>
      </c>
      <c r="C71" s="6" t="s">
        <v>12</v>
      </c>
      <c r="D71" s="7">
        <v>24270.0</v>
      </c>
      <c r="E71" s="6" t="s">
        <v>12</v>
      </c>
      <c r="F71" s="7">
        <v>21608.5</v>
      </c>
      <c r="G71" s="6" t="s">
        <v>12</v>
      </c>
      <c r="H71" s="7">
        <v>2790.0</v>
      </c>
      <c r="I71" s="6" t="s">
        <v>12</v>
      </c>
      <c r="J71" s="7">
        <v>2654.0</v>
      </c>
    </row>
    <row r="72" ht="22.5" customHeight="1">
      <c r="A72" s="6" t="s">
        <v>13</v>
      </c>
      <c r="B72" s="7">
        <v>357.0</v>
      </c>
      <c r="C72" s="6" t="s">
        <v>13</v>
      </c>
      <c r="D72" s="7">
        <v>32615.0</v>
      </c>
      <c r="E72" s="6" t="s">
        <v>13</v>
      </c>
      <c r="F72" s="7">
        <v>29034.5</v>
      </c>
      <c r="G72" s="6" t="s">
        <v>13</v>
      </c>
      <c r="H72" s="7">
        <v>3781.5</v>
      </c>
      <c r="I72" s="6" t="s">
        <v>13</v>
      </c>
      <c r="J72" s="7">
        <v>2706.0</v>
      </c>
    </row>
    <row r="73" ht="22.5" customHeight="1">
      <c r="A73" s="6" t="s">
        <v>14</v>
      </c>
      <c r="B73" s="7">
        <v>46.999425935338465</v>
      </c>
      <c r="C73" s="6" t="s">
        <v>14</v>
      </c>
      <c r="D73" s="7">
        <v>3667.0578743117644</v>
      </c>
      <c r="E73" s="6" t="s">
        <v>14</v>
      </c>
      <c r="F73" s="7">
        <v>3288.2293568958826</v>
      </c>
      <c r="G73" s="6" t="s">
        <v>14</v>
      </c>
      <c r="H73" s="7">
        <v>477.2168794164767</v>
      </c>
      <c r="I73" s="6" t="s">
        <v>14</v>
      </c>
      <c r="J73" s="7">
        <v>664.5193031319501</v>
      </c>
    </row>
    <row r="74" ht="22.5" customHeight="1">
      <c r="A74" s="6" t="s">
        <v>15</v>
      </c>
      <c r="B74" s="7">
        <v>2208.946038251366</v>
      </c>
      <c r="C74" s="6" t="s">
        <v>15</v>
      </c>
      <c r="D74" s="7">
        <v>1.3447313453551916E7</v>
      </c>
      <c r="E74" s="6" t="s">
        <v>15</v>
      </c>
      <c r="F74" s="7">
        <v>1.081245230355191E7</v>
      </c>
      <c r="G74" s="6" t="s">
        <v>15</v>
      </c>
      <c r="H74" s="7">
        <v>227735.95</v>
      </c>
      <c r="I74" s="6" t="s">
        <v>15</v>
      </c>
      <c r="J74" s="7">
        <v>441585.9042349726</v>
      </c>
    </row>
    <row r="75" ht="22.5" customHeight="1">
      <c r="A75" s="6" t="s">
        <v>16</v>
      </c>
      <c r="B75" s="7">
        <v>-0.28424337188489934</v>
      </c>
      <c r="C75" s="6" t="s">
        <v>16</v>
      </c>
      <c r="D75" s="7">
        <v>-0.7094164538465155</v>
      </c>
      <c r="E75" s="6" t="s">
        <v>16</v>
      </c>
      <c r="F75" s="7">
        <v>-0.7186254460304653</v>
      </c>
      <c r="G75" s="6" t="s">
        <v>16</v>
      </c>
      <c r="H75" s="7">
        <v>-0.7191250255221369</v>
      </c>
      <c r="I75" s="6" t="s">
        <v>16</v>
      </c>
      <c r="J75" s="7">
        <v>0.8877006653206072</v>
      </c>
    </row>
    <row r="76" ht="22.5" customHeight="1">
      <c r="A76" s="6" t="s">
        <v>17</v>
      </c>
      <c r="B76" s="7">
        <v>0.6257644035361636</v>
      </c>
      <c r="C76" s="6" t="s">
        <v>17</v>
      </c>
      <c r="D76" s="7">
        <v>0.3527057668276065</v>
      </c>
      <c r="E76" s="6" t="s">
        <v>17</v>
      </c>
      <c r="F76" s="7">
        <v>0.38788330776566593</v>
      </c>
      <c r="G76" s="6" t="s">
        <v>17</v>
      </c>
      <c r="H76" s="7">
        <v>-0.021559568015979826</v>
      </c>
      <c r="I76" s="6" t="s">
        <v>17</v>
      </c>
      <c r="J76" s="7">
        <v>0.7475176946803171</v>
      </c>
    </row>
    <row r="77" ht="22.5" customHeight="1">
      <c r="A77" s="6" t="s">
        <v>18</v>
      </c>
      <c r="B77" s="7">
        <v>186.0</v>
      </c>
      <c r="C77" s="6" t="s">
        <v>18</v>
      </c>
      <c r="D77" s="7">
        <v>13670.0</v>
      </c>
      <c r="E77" s="6" t="s">
        <v>18</v>
      </c>
      <c r="F77" s="7">
        <v>11991.0</v>
      </c>
      <c r="G77" s="6" t="s">
        <v>18</v>
      </c>
      <c r="H77" s="7">
        <v>1880.0</v>
      </c>
      <c r="I77" s="6" t="s">
        <v>18</v>
      </c>
      <c r="J77" s="7">
        <v>3195.5</v>
      </c>
    </row>
    <row r="78" ht="22.5" customHeight="1">
      <c r="A78" s="6" t="s">
        <v>19</v>
      </c>
      <c r="B78" s="7">
        <v>238.0</v>
      </c>
      <c r="C78" s="6" t="s">
        <v>19</v>
      </c>
      <c r="D78" s="7">
        <v>18945.0</v>
      </c>
      <c r="E78" s="6" t="s">
        <v>19</v>
      </c>
      <c r="F78" s="7">
        <v>17043.5</v>
      </c>
      <c r="G78" s="6" t="s">
        <v>19</v>
      </c>
      <c r="H78" s="7">
        <v>1901.5</v>
      </c>
      <c r="I78" s="6" t="s">
        <v>19</v>
      </c>
      <c r="J78" s="7">
        <v>1598.5</v>
      </c>
    </row>
    <row r="79" ht="22.5" customHeight="1">
      <c r="A79" s="6" t="s">
        <v>20</v>
      </c>
      <c r="B79" s="7">
        <v>424.0</v>
      </c>
      <c r="C79" s="6" t="s">
        <v>20</v>
      </c>
      <c r="D79" s="7">
        <v>32615.0</v>
      </c>
      <c r="E79" s="6" t="s">
        <v>20</v>
      </c>
      <c r="F79" s="7">
        <v>29034.5</v>
      </c>
      <c r="G79" s="6" t="s">
        <v>20</v>
      </c>
      <c r="H79" s="7">
        <v>3781.5</v>
      </c>
      <c r="I79" s="6" t="s">
        <v>20</v>
      </c>
      <c r="J79" s="7">
        <v>4794.0</v>
      </c>
    </row>
    <row r="80" ht="22.5" customHeight="1">
      <c r="A80" s="6" t="s">
        <v>21</v>
      </c>
      <c r="B80" s="7">
        <v>18957.5</v>
      </c>
      <c r="C80" s="6" t="s">
        <v>21</v>
      </c>
      <c r="D80" s="7">
        <v>1514967.0</v>
      </c>
      <c r="E80" s="6" t="s">
        <v>21</v>
      </c>
      <c r="F80" s="7">
        <v>1343008.0</v>
      </c>
      <c r="G80" s="6" t="s">
        <v>21</v>
      </c>
      <c r="H80" s="7">
        <v>171959.0</v>
      </c>
      <c r="I80" s="6" t="s">
        <v>21</v>
      </c>
      <c r="J80" s="7">
        <v>169799.0</v>
      </c>
    </row>
    <row r="81" ht="22.5" customHeight="1">
      <c r="A81" s="6" t="s">
        <v>22</v>
      </c>
      <c r="B81" s="7">
        <v>61.0</v>
      </c>
      <c r="C81" s="6" t="s">
        <v>22</v>
      </c>
      <c r="D81" s="7">
        <v>61.0</v>
      </c>
      <c r="E81" s="6" t="s">
        <v>22</v>
      </c>
      <c r="F81" s="7">
        <v>61.0</v>
      </c>
      <c r="G81" s="6" t="s">
        <v>22</v>
      </c>
      <c r="H81" s="7">
        <v>61.0</v>
      </c>
      <c r="I81" s="6" t="s">
        <v>22</v>
      </c>
      <c r="J81" s="7">
        <v>61.0</v>
      </c>
    </row>
    <row r="82" ht="22.5" customHeight="1">
      <c r="A82" s="6" t="s">
        <v>23</v>
      </c>
      <c r="B82" s="7">
        <v>424.0</v>
      </c>
      <c r="C82" s="6" t="s">
        <v>23</v>
      </c>
      <c r="D82" s="7">
        <v>32615.0</v>
      </c>
      <c r="E82" s="6" t="s">
        <v>23</v>
      </c>
      <c r="F82" s="7">
        <v>29034.5</v>
      </c>
      <c r="G82" s="6" t="s">
        <v>23</v>
      </c>
      <c r="H82" s="7">
        <v>3781.5</v>
      </c>
      <c r="I82" s="6" t="s">
        <v>23</v>
      </c>
      <c r="J82" s="7">
        <v>4794.0</v>
      </c>
    </row>
    <row r="83" ht="22.5" customHeight="1">
      <c r="A83" s="6" t="s">
        <v>24</v>
      </c>
      <c r="B83" s="7">
        <v>238.0</v>
      </c>
      <c r="C83" s="6" t="s">
        <v>24</v>
      </c>
      <c r="D83" s="7">
        <v>18945.0</v>
      </c>
      <c r="E83" s="6" t="s">
        <v>24</v>
      </c>
      <c r="F83" s="7">
        <v>17043.5</v>
      </c>
      <c r="G83" s="6" t="s">
        <v>24</v>
      </c>
      <c r="H83" s="7">
        <v>1901.5</v>
      </c>
      <c r="I83" s="6" t="s">
        <v>24</v>
      </c>
      <c r="J83" s="7">
        <v>1598.5</v>
      </c>
    </row>
    <row r="84" ht="22.5" customHeight="1">
      <c r="A84" s="6" t="s">
        <v>25</v>
      </c>
      <c r="B84" s="7">
        <v>12.03711152331158</v>
      </c>
      <c r="C84" s="6" t="s">
        <v>25</v>
      </c>
      <c r="D84" s="7">
        <v>939.1771009343211</v>
      </c>
      <c r="E84" s="6" t="s">
        <v>25</v>
      </c>
      <c r="F84" s="7">
        <v>842.1546156252589</v>
      </c>
      <c r="G84" s="6" t="s">
        <v>25</v>
      </c>
      <c r="H84" s="7">
        <v>122.22091406490472</v>
      </c>
      <c r="I84" s="6" t="s">
        <v>25</v>
      </c>
      <c r="J84" s="7">
        <v>170.19129068081384</v>
      </c>
    </row>
  </sheetData>
  <dataValidations>
    <dataValidation type="custom" allowBlank="1" showDropDown="1" sqref="B69:B84 D69:D84 F69:F84 H69:H84 J69:J84">
      <formula1>AND(ISNUMBER(B69),(NOT(OR(NOT(ISERROR(DATEVALUE(B69))), AND(ISNUMBER(B69), LEFT(CELL("format", B69))="D")))))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1.88"/>
    <col customWidth="1" min="3" max="3" width="12.88"/>
    <col customWidth="1" min="4" max="4" width="12.25"/>
    <col customWidth="1" min="5" max="5" width="14.88"/>
    <col customWidth="1" min="6" max="6" width="14.13"/>
    <col customWidth="1" min="7" max="7" width="19.63"/>
    <col customWidth="1" min="8" max="8" width="17.75"/>
    <col customWidth="1" min="9" max="9" width="11.75"/>
    <col customWidth="1" min="12" max="12" width="15.63"/>
    <col customWidth="1" min="13" max="13" width="15.0"/>
    <col customWidth="1" min="14" max="14" width="19.13"/>
    <col customWidth="1" min="15" max="15" width="17.25"/>
  </cols>
  <sheetData>
    <row r="1" ht="22.5" customHeight="1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9" t="s">
        <v>39</v>
      </c>
      <c r="O1" s="10" t="s">
        <v>40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22.5" customHeight="1">
      <c r="A2" s="12">
        <v>45717.0</v>
      </c>
      <c r="B2" s="13">
        <v>34.0</v>
      </c>
      <c r="C2" s="14">
        <v>64.0</v>
      </c>
      <c r="D2" s="14">
        <v>47.0</v>
      </c>
      <c r="E2" s="15">
        <v>67.0</v>
      </c>
      <c r="F2" s="14">
        <v>31.0</v>
      </c>
      <c r="G2" s="16">
        <v>21.0</v>
      </c>
      <c r="H2" s="17">
        <v>7.0</v>
      </c>
      <c r="I2" s="17">
        <v>5.0</v>
      </c>
      <c r="J2" s="17">
        <v>2.0</v>
      </c>
      <c r="K2" s="18">
        <v>32.0</v>
      </c>
      <c r="L2" s="14">
        <v>19.0</v>
      </c>
      <c r="M2" s="17">
        <v>9.0</v>
      </c>
      <c r="N2" s="19">
        <f t="shared" ref="N2:N62" si="1">SUM(B2:M2)</f>
        <v>338</v>
      </c>
      <c r="O2" s="20">
        <f t="shared" ref="O2:O62" si="2">N2/12</f>
        <v>28.16666667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22.5" customHeight="1">
      <c r="A3" s="12">
        <v>45718.0</v>
      </c>
      <c r="B3" s="13">
        <v>77.0</v>
      </c>
      <c r="C3" s="14">
        <v>28.0</v>
      </c>
      <c r="D3" s="14">
        <v>55.0</v>
      </c>
      <c r="E3" s="15">
        <v>62.0</v>
      </c>
      <c r="F3" s="14">
        <v>29.0</v>
      </c>
      <c r="G3" s="16">
        <v>29.0</v>
      </c>
      <c r="H3" s="17">
        <v>11.0</v>
      </c>
      <c r="I3" s="17">
        <v>2.0</v>
      </c>
      <c r="J3" s="17">
        <v>3.0</v>
      </c>
      <c r="K3" s="18">
        <v>32.0</v>
      </c>
      <c r="L3" s="17">
        <v>6.0</v>
      </c>
      <c r="M3" s="17">
        <v>6.0</v>
      </c>
      <c r="N3" s="19">
        <f t="shared" si="1"/>
        <v>340</v>
      </c>
      <c r="O3" s="20">
        <f t="shared" si="2"/>
        <v>28.33333333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22.5" customHeight="1">
      <c r="A4" s="12">
        <v>45719.0</v>
      </c>
      <c r="B4" s="13">
        <v>31.0</v>
      </c>
      <c r="C4" s="14">
        <v>57.0</v>
      </c>
      <c r="D4" s="14">
        <v>34.0</v>
      </c>
      <c r="E4" s="15">
        <v>44.0</v>
      </c>
      <c r="F4" s="14">
        <v>32.0</v>
      </c>
      <c r="G4" s="16">
        <v>25.0</v>
      </c>
      <c r="H4" s="17">
        <v>10.0</v>
      </c>
      <c r="I4" s="17">
        <v>3.0</v>
      </c>
      <c r="J4" s="17">
        <v>1.0</v>
      </c>
      <c r="K4" s="18">
        <v>22.0</v>
      </c>
      <c r="L4" s="17">
        <v>10.0</v>
      </c>
      <c r="M4" s="17">
        <v>10.0</v>
      </c>
      <c r="N4" s="19">
        <f t="shared" si="1"/>
        <v>279</v>
      </c>
      <c r="O4" s="20">
        <f t="shared" si="2"/>
        <v>23.25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22.5" customHeight="1">
      <c r="A5" s="12">
        <v>45720.0</v>
      </c>
      <c r="B5" s="13">
        <v>17.0</v>
      </c>
      <c r="C5" s="14">
        <v>33.0</v>
      </c>
      <c r="D5" s="14">
        <v>39.0</v>
      </c>
      <c r="E5" s="15">
        <v>45.0</v>
      </c>
      <c r="F5" s="17">
        <v>50.0</v>
      </c>
      <c r="G5" s="16">
        <v>22.0</v>
      </c>
      <c r="H5" s="17">
        <v>5.0</v>
      </c>
      <c r="I5" s="17">
        <v>6.0</v>
      </c>
      <c r="J5" s="17">
        <v>4.0</v>
      </c>
      <c r="K5" s="18">
        <v>46.0</v>
      </c>
      <c r="L5" s="14">
        <v>12.0</v>
      </c>
      <c r="M5" s="17">
        <v>7.0</v>
      </c>
      <c r="N5" s="19">
        <f t="shared" si="1"/>
        <v>286</v>
      </c>
      <c r="O5" s="20">
        <f t="shared" si="2"/>
        <v>23.83333333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22.5" customHeight="1">
      <c r="A6" s="12">
        <v>45721.0</v>
      </c>
      <c r="B6" s="13">
        <v>50.0</v>
      </c>
      <c r="C6" s="14">
        <v>34.0</v>
      </c>
      <c r="D6" s="14">
        <v>21.0</v>
      </c>
      <c r="E6" s="15">
        <v>80.0</v>
      </c>
      <c r="F6" s="14">
        <v>38.0</v>
      </c>
      <c r="G6" s="16">
        <v>21.0</v>
      </c>
      <c r="H6" s="17">
        <v>17.0</v>
      </c>
      <c r="I6" s="17">
        <v>1.0</v>
      </c>
      <c r="J6" s="17">
        <v>2.0</v>
      </c>
      <c r="K6" s="18">
        <v>34.0</v>
      </c>
      <c r="L6" s="17">
        <v>9.0</v>
      </c>
      <c r="M6" s="17">
        <v>9.0</v>
      </c>
      <c r="N6" s="19">
        <f t="shared" si="1"/>
        <v>316</v>
      </c>
      <c r="O6" s="20">
        <f t="shared" si="2"/>
        <v>26.33333333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22.5" customHeight="1">
      <c r="A7" s="12">
        <v>45722.0</v>
      </c>
      <c r="B7" s="21">
        <v>34.0</v>
      </c>
      <c r="C7" s="14">
        <v>96.0</v>
      </c>
      <c r="D7" s="14">
        <v>42.0</v>
      </c>
      <c r="E7" s="15">
        <v>29.0</v>
      </c>
      <c r="F7" s="14">
        <v>41.0</v>
      </c>
      <c r="G7" s="16">
        <v>25.0</v>
      </c>
      <c r="H7" s="17">
        <v>6.0</v>
      </c>
      <c r="I7" s="17">
        <v>3.0</v>
      </c>
      <c r="J7" s="17">
        <v>3.0</v>
      </c>
      <c r="K7" s="22">
        <v>20.0</v>
      </c>
      <c r="L7" s="17">
        <v>12.0</v>
      </c>
      <c r="M7" s="17">
        <v>12.0</v>
      </c>
      <c r="N7" s="19">
        <f t="shared" si="1"/>
        <v>323</v>
      </c>
      <c r="O7" s="20">
        <f t="shared" si="2"/>
        <v>26.91666667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22.5" customHeight="1">
      <c r="A8" s="12">
        <v>45723.0</v>
      </c>
      <c r="B8" s="13">
        <v>52.0</v>
      </c>
      <c r="C8" s="14">
        <v>37.0</v>
      </c>
      <c r="D8" s="14">
        <v>60.0</v>
      </c>
      <c r="E8" s="15">
        <v>54.0</v>
      </c>
      <c r="F8" s="17">
        <v>40.0</v>
      </c>
      <c r="G8" s="16">
        <v>25.0</v>
      </c>
      <c r="H8" s="17">
        <v>9.0</v>
      </c>
      <c r="I8" s="17">
        <v>1.0</v>
      </c>
      <c r="J8" s="17">
        <v>3.0</v>
      </c>
      <c r="K8" s="18">
        <v>31.0</v>
      </c>
      <c r="L8" s="17">
        <v>5.0</v>
      </c>
      <c r="M8" s="17">
        <v>5.0</v>
      </c>
      <c r="N8" s="19">
        <f t="shared" si="1"/>
        <v>322</v>
      </c>
      <c r="O8" s="20">
        <f t="shared" si="2"/>
        <v>26.83333333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22.5" customHeight="1">
      <c r="A9" s="12">
        <v>45724.0</v>
      </c>
      <c r="B9" s="13">
        <v>22.0</v>
      </c>
      <c r="C9" s="14">
        <v>28.0</v>
      </c>
      <c r="D9" s="14">
        <v>94.0</v>
      </c>
      <c r="E9" s="15">
        <v>16.0</v>
      </c>
      <c r="F9" s="14">
        <v>29.0</v>
      </c>
      <c r="G9" s="16">
        <v>18.0</v>
      </c>
      <c r="H9" s="17">
        <v>12.0</v>
      </c>
      <c r="I9" s="17">
        <v>2.0</v>
      </c>
      <c r="J9" s="17">
        <v>0.0</v>
      </c>
      <c r="K9" s="18">
        <v>45.0</v>
      </c>
      <c r="L9" s="17">
        <v>9.0</v>
      </c>
      <c r="M9" s="17">
        <v>9.0</v>
      </c>
      <c r="N9" s="19">
        <f t="shared" si="1"/>
        <v>284</v>
      </c>
      <c r="O9" s="20">
        <f t="shared" si="2"/>
        <v>23.66666667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22.5" customHeight="1">
      <c r="A10" s="12">
        <v>45725.0</v>
      </c>
      <c r="B10" s="13">
        <v>32.0</v>
      </c>
      <c r="C10" s="14">
        <v>25.0</v>
      </c>
      <c r="D10" s="14">
        <v>49.0</v>
      </c>
      <c r="E10" s="15">
        <v>23.0</v>
      </c>
      <c r="F10" s="14">
        <v>43.0</v>
      </c>
      <c r="G10" s="16">
        <v>22.0</v>
      </c>
      <c r="H10" s="17">
        <v>18.0</v>
      </c>
      <c r="I10" s="17">
        <v>3.0</v>
      </c>
      <c r="J10" s="17">
        <v>2.0</v>
      </c>
      <c r="K10" s="18">
        <v>31.0</v>
      </c>
      <c r="L10" s="17">
        <v>10.0</v>
      </c>
      <c r="M10" s="17">
        <v>10.0</v>
      </c>
      <c r="N10" s="19">
        <f t="shared" si="1"/>
        <v>268</v>
      </c>
      <c r="O10" s="20">
        <f t="shared" si="2"/>
        <v>22.33333333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22.5" customHeight="1">
      <c r="A11" s="12">
        <v>45726.0</v>
      </c>
      <c r="B11" s="13">
        <v>36.0</v>
      </c>
      <c r="C11" s="14">
        <v>82.0</v>
      </c>
      <c r="D11" s="14">
        <v>27.0</v>
      </c>
      <c r="E11" s="15">
        <v>33.0</v>
      </c>
      <c r="F11" s="14">
        <v>60.0</v>
      </c>
      <c r="G11" s="16">
        <v>17.0</v>
      </c>
      <c r="H11" s="17">
        <v>12.0</v>
      </c>
      <c r="I11" s="17">
        <v>3.0</v>
      </c>
      <c r="J11" s="17">
        <v>3.0</v>
      </c>
      <c r="K11" s="18">
        <v>40.0</v>
      </c>
      <c r="L11" s="17">
        <v>7.0</v>
      </c>
      <c r="M11" s="17">
        <v>7.0</v>
      </c>
      <c r="N11" s="19">
        <f t="shared" si="1"/>
        <v>327</v>
      </c>
      <c r="O11" s="20">
        <f t="shared" si="2"/>
        <v>27.25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22.5" customHeight="1">
      <c r="A12" s="12">
        <v>45727.0</v>
      </c>
      <c r="B12" s="13">
        <v>83.0</v>
      </c>
      <c r="C12" s="14">
        <v>95.0</v>
      </c>
      <c r="D12" s="14">
        <v>53.0</v>
      </c>
      <c r="E12" s="15">
        <v>60.0</v>
      </c>
      <c r="F12" s="17">
        <v>53.0</v>
      </c>
      <c r="G12" s="16">
        <v>16.0</v>
      </c>
      <c r="H12" s="17">
        <v>7.0</v>
      </c>
      <c r="I12" s="17">
        <v>1.0</v>
      </c>
      <c r="J12" s="17">
        <v>2.0</v>
      </c>
      <c r="K12" s="18">
        <v>42.0</v>
      </c>
      <c r="L12" s="17">
        <v>6.0</v>
      </c>
      <c r="M12" s="17">
        <v>6.0</v>
      </c>
      <c r="N12" s="19">
        <f t="shared" si="1"/>
        <v>424</v>
      </c>
      <c r="O12" s="20">
        <f t="shared" si="2"/>
        <v>35.33333333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22.5" customHeight="1">
      <c r="A13" s="12">
        <v>45728.0</v>
      </c>
      <c r="B13" s="13">
        <v>48.0</v>
      </c>
      <c r="C13" s="14">
        <v>35.0</v>
      </c>
      <c r="D13" s="14">
        <v>74.0</v>
      </c>
      <c r="E13" s="15">
        <v>61.0</v>
      </c>
      <c r="F13" s="14">
        <v>41.0</v>
      </c>
      <c r="G13" s="16">
        <v>26.0</v>
      </c>
      <c r="H13" s="17">
        <v>18.0</v>
      </c>
      <c r="I13" s="17">
        <v>2.0</v>
      </c>
      <c r="J13" s="17">
        <v>1.0</v>
      </c>
      <c r="K13" s="18">
        <v>31.0</v>
      </c>
      <c r="L13" s="17">
        <v>10.0</v>
      </c>
      <c r="M13" s="17">
        <v>10.0</v>
      </c>
      <c r="N13" s="19">
        <f t="shared" si="1"/>
        <v>357</v>
      </c>
      <c r="O13" s="20">
        <f t="shared" si="2"/>
        <v>29.75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22.5" customHeight="1">
      <c r="A14" s="12">
        <v>45729.0</v>
      </c>
      <c r="B14" s="13">
        <v>69.0</v>
      </c>
      <c r="C14" s="14">
        <v>60.0</v>
      </c>
      <c r="D14" s="14">
        <v>82.0</v>
      </c>
      <c r="E14" s="15">
        <v>37.0</v>
      </c>
      <c r="F14" s="14">
        <v>45.0</v>
      </c>
      <c r="G14" s="16">
        <v>20.0</v>
      </c>
      <c r="H14" s="17">
        <v>6.0</v>
      </c>
      <c r="I14" s="17">
        <v>4.0</v>
      </c>
      <c r="J14" s="17">
        <v>2.0</v>
      </c>
      <c r="K14" s="18">
        <v>31.0</v>
      </c>
      <c r="L14" s="17">
        <v>10.0</v>
      </c>
      <c r="M14" s="17">
        <v>10.0</v>
      </c>
      <c r="N14" s="19">
        <f t="shared" si="1"/>
        <v>376</v>
      </c>
      <c r="O14" s="20">
        <f t="shared" si="2"/>
        <v>31.33333333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22.5" customHeight="1">
      <c r="A15" s="12">
        <v>45730.0</v>
      </c>
      <c r="B15" s="13">
        <v>33.0</v>
      </c>
      <c r="C15" s="14">
        <v>48.0</v>
      </c>
      <c r="D15" s="14">
        <v>48.0</v>
      </c>
      <c r="E15" s="15">
        <v>45.0</v>
      </c>
      <c r="F15" s="17">
        <v>31.0</v>
      </c>
      <c r="G15" s="16">
        <v>16.0</v>
      </c>
      <c r="H15" s="17">
        <v>9.0</v>
      </c>
      <c r="I15" s="17">
        <v>0.0</v>
      </c>
      <c r="J15" s="17">
        <v>1.0</v>
      </c>
      <c r="K15" s="18">
        <v>40.0</v>
      </c>
      <c r="L15" s="17">
        <v>5.0</v>
      </c>
      <c r="M15" s="17">
        <v>5.0</v>
      </c>
      <c r="N15" s="19">
        <f t="shared" si="1"/>
        <v>281</v>
      </c>
      <c r="O15" s="20">
        <f t="shared" si="2"/>
        <v>23.41666667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22.5" customHeight="1">
      <c r="A16" s="12">
        <v>45731.0</v>
      </c>
      <c r="B16" s="13">
        <v>49.0</v>
      </c>
      <c r="C16" s="14">
        <v>17.0</v>
      </c>
      <c r="D16" s="14">
        <v>32.0</v>
      </c>
      <c r="E16" s="15">
        <v>35.0</v>
      </c>
      <c r="F16" s="17">
        <v>53.0</v>
      </c>
      <c r="G16" s="16">
        <v>15.0</v>
      </c>
      <c r="H16" s="17">
        <v>6.0</v>
      </c>
      <c r="I16" s="17">
        <v>2.0</v>
      </c>
      <c r="J16" s="17">
        <v>3.0</v>
      </c>
      <c r="K16" s="18">
        <v>30.0</v>
      </c>
      <c r="L16" s="17">
        <v>8.0</v>
      </c>
      <c r="M16" s="17">
        <v>8.0</v>
      </c>
      <c r="N16" s="19">
        <f t="shared" si="1"/>
        <v>258</v>
      </c>
      <c r="O16" s="20">
        <f t="shared" si="2"/>
        <v>21.5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22.5" customHeight="1">
      <c r="A17" s="12">
        <v>45732.0</v>
      </c>
      <c r="B17" s="13">
        <v>69.0</v>
      </c>
      <c r="C17" s="14">
        <v>59.0</v>
      </c>
      <c r="D17" s="14">
        <v>62.0</v>
      </c>
      <c r="E17" s="15">
        <v>70.0</v>
      </c>
      <c r="F17" s="14">
        <v>49.0</v>
      </c>
      <c r="G17" s="16">
        <v>26.0</v>
      </c>
      <c r="H17" s="17">
        <v>7.0</v>
      </c>
      <c r="I17" s="17">
        <v>7.0</v>
      </c>
      <c r="J17" s="17">
        <v>0.0</v>
      </c>
      <c r="K17" s="18">
        <v>28.0</v>
      </c>
      <c r="L17" s="17">
        <v>7.0</v>
      </c>
      <c r="M17" s="17">
        <v>7.0</v>
      </c>
      <c r="N17" s="19">
        <f t="shared" si="1"/>
        <v>391</v>
      </c>
      <c r="O17" s="20">
        <f t="shared" si="2"/>
        <v>32.58333333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ht="22.5" customHeight="1">
      <c r="A18" s="12">
        <v>45733.0</v>
      </c>
      <c r="B18" s="13">
        <v>25.0</v>
      </c>
      <c r="C18" s="14">
        <v>68.0</v>
      </c>
      <c r="D18" s="14">
        <v>35.0</v>
      </c>
      <c r="E18" s="15">
        <v>21.0</v>
      </c>
      <c r="F18" s="17">
        <v>31.0</v>
      </c>
      <c r="G18" s="16">
        <v>26.0</v>
      </c>
      <c r="H18" s="17">
        <v>5.0</v>
      </c>
      <c r="I18" s="17">
        <v>5.0</v>
      </c>
      <c r="J18" s="17">
        <v>2.0</v>
      </c>
      <c r="K18" s="18">
        <v>12.0</v>
      </c>
      <c r="L18" s="17">
        <v>4.0</v>
      </c>
      <c r="M18" s="17">
        <v>4.0</v>
      </c>
      <c r="N18" s="19">
        <f t="shared" si="1"/>
        <v>238</v>
      </c>
      <c r="O18" s="20">
        <f t="shared" si="2"/>
        <v>19.83333333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22.5" customHeight="1">
      <c r="A19" s="12">
        <v>45734.0</v>
      </c>
      <c r="B19" s="13">
        <v>16.0</v>
      </c>
      <c r="C19" s="14">
        <v>27.0</v>
      </c>
      <c r="D19" s="14">
        <v>57.0</v>
      </c>
      <c r="E19" s="15">
        <v>63.0</v>
      </c>
      <c r="F19" s="17">
        <v>50.0</v>
      </c>
      <c r="G19" s="16">
        <v>31.0</v>
      </c>
      <c r="H19" s="17">
        <v>12.0</v>
      </c>
      <c r="I19" s="17">
        <v>0.0</v>
      </c>
      <c r="J19" s="17">
        <v>4.0</v>
      </c>
      <c r="K19" s="18">
        <v>25.0</v>
      </c>
      <c r="L19" s="17">
        <v>10.0</v>
      </c>
      <c r="M19" s="17">
        <v>10.0</v>
      </c>
      <c r="N19" s="19">
        <f t="shared" si="1"/>
        <v>305</v>
      </c>
      <c r="O19" s="20">
        <f t="shared" si="2"/>
        <v>25.41666667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22.5" customHeight="1">
      <c r="A20" s="12">
        <v>45735.0</v>
      </c>
      <c r="B20" s="13">
        <v>101.0</v>
      </c>
      <c r="C20" s="14">
        <v>21.0</v>
      </c>
      <c r="D20" s="14">
        <v>79.0</v>
      </c>
      <c r="E20" s="15">
        <v>57.0</v>
      </c>
      <c r="F20" s="14">
        <v>30.0</v>
      </c>
      <c r="G20" s="16">
        <v>24.0</v>
      </c>
      <c r="H20" s="17">
        <v>18.0</v>
      </c>
      <c r="I20" s="17">
        <v>5.0</v>
      </c>
      <c r="J20" s="17">
        <v>2.0</v>
      </c>
      <c r="K20" s="18">
        <v>14.0</v>
      </c>
      <c r="L20" s="17">
        <v>8.0</v>
      </c>
      <c r="M20" s="17">
        <v>8.0</v>
      </c>
      <c r="N20" s="19">
        <f t="shared" si="1"/>
        <v>367</v>
      </c>
      <c r="O20" s="20">
        <f t="shared" si="2"/>
        <v>30.58333333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22.5" customHeight="1">
      <c r="A21" s="12">
        <v>45736.0</v>
      </c>
      <c r="B21" s="13">
        <v>30.0</v>
      </c>
      <c r="C21" s="14">
        <v>29.0</v>
      </c>
      <c r="D21" s="14">
        <v>22.0</v>
      </c>
      <c r="E21" s="15">
        <v>91.0</v>
      </c>
      <c r="F21" s="17">
        <v>41.0</v>
      </c>
      <c r="G21" s="16">
        <v>30.0</v>
      </c>
      <c r="H21" s="17">
        <v>13.0</v>
      </c>
      <c r="I21" s="17">
        <v>4.0</v>
      </c>
      <c r="J21" s="17">
        <v>0.0</v>
      </c>
      <c r="K21" s="18">
        <v>19.0</v>
      </c>
      <c r="L21" s="17">
        <v>4.0</v>
      </c>
      <c r="M21" s="17">
        <v>4.0</v>
      </c>
      <c r="N21" s="19">
        <f t="shared" si="1"/>
        <v>287</v>
      </c>
      <c r="O21" s="20">
        <f t="shared" si="2"/>
        <v>23.91666667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22.5" customHeight="1">
      <c r="A22" s="12">
        <v>45737.0</v>
      </c>
      <c r="B22" s="13">
        <v>72.0</v>
      </c>
      <c r="C22" s="14">
        <v>72.0</v>
      </c>
      <c r="D22" s="14">
        <v>43.0</v>
      </c>
      <c r="E22" s="15">
        <v>57.0</v>
      </c>
      <c r="F22" s="14">
        <v>50.0</v>
      </c>
      <c r="G22" s="16">
        <v>29.0</v>
      </c>
      <c r="H22" s="17">
        <v>10.0</v>
      </c>
      <c r="I22" s="17">
        <v>3.0</v>
      </c>
      <c r="J22" s="17">
        <v>3.0</v>
      </c>
      <c r="K22" s="18">
        <v>4.0</v>
      </c>
      <c r="L22" s="17">
        <v>7.0</v>
      </c>
      <c r="M22" s="17">
        <v>7.0</v>
      </c>
      <c r="N22" s="19">
        <f t="shared" si="1"/>
        <v>357</v>
      </c>
      <c r="O22" s="20">
        <f t="shared" si="2"/>
        <v>29.75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22.5" customHeight="1">
      <c r="A23" s="12">
        <v>45738.0</v>
      </c>
      <c r="B23" s="13">
        <v>43.0</v>
      </c>
      <c r="C23" s="14">
        <v>18.0</v>
      </c>
      <c r="D23" s="14">
        <v>76.0</v>
      </c>
      <c r="E23" s="15">
        <v>81.0</v>
      </c>
      <c r="F23" s="14">
        <v>34.0</v>
      </c>
      <c r="G23" s="16">
        <v>29.0</v>
      </c>
      <c r="H23" s="17">
        <v>5.0</v>
      </c>
      <c r="I23" s="17">
        <v>1.0</v>
      </c>
      <c r="J23" s="17">
        <v>3.0</v>
      </c>
      <c r="K23" s="18">
        <v>7.0</v>
      </c>
      <c r="L23" s="17">
        <v>3.0</v>
      </c>
      <c r="M23" s="17">
        <v>3.0</v>
      </c>
      <c r="N23" s="19">
        <f t="shared" si="1"/>
        <v>303</v>
      </c>
      <c r="O23" s="20">
        <f t="shared" si="2"/>
        <v>25.25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22.5" customHeight="1">
      <c r="A24" s="12">
        <v>45739.0</v>
      </c>
      <c r="B24" s="21">
        <v>59.0</v>
      </c>
      <c r="C24" s="14">
        <v>54.0</v>
      </c>
      <c r="D24" s="14">
        <v>79.0</v>
      </c>
      <c r="E24" s="15">
        <v>80.0</v>
      </c>
      <c r="F24" s="14">
        <v>46.0</v>
      </c>
      <c r="G24" s="16">
        <v>26.0</v>
      </c>
      <c r="H24" s="17">
        <v>16.0</v>
      </c>
      <c r="I24" s="17">
        <v>1.0</v>
      </c>
      <c r="J24" s="17">
        <v>5.0</v>
      </c>
      <c r="K24" s="22">
        <v>13.0</v>
      </c>
      <c r="L24" s="17">
        <v>12.0</v>
      </c>
      <c r="M24" s="17">
        <v>12.0</v>
      </c>
      <c r="N24" s="19">
        <f t="shared" si="1"/>
        <v>403</v>
      </c>
      <c r="O24" s="20">
        <f t="shared" si="2"/>
        <v>33.58333333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22.5" customHeight="1">
      <c r="A25" s="12">
        <v>45740.0</v>
      </c>
      <c r="B25" s="13">
        <v>52.0</v>
      </c>
      <c r="C25" s="14">
        <v>57.0</v>
      </c>
      <c r="D25" s="14">
        <v>49.0</v>
      </c>
      <c r="E25" s="15">
        <v>35.0</v>
      </c>
      <c r="F25" s="14">
        <v>43.0</v>
      </c>
      <c r="G25" s="16">
        <v>17.0</v>
      </c>
      <c r="H25" s="17">
        <v>5.0</v>
      </c>
      <c r="I25" s="17">
        <v>2.0</v>
      </c>
      <c r="J25" s="17">
        <v>1.0</v>
      </c>
      <c r="K25" s="18">
        <v>6.0</v>
      </c>
      <c r="L25" s="17">
        <v>8.0</v>
      </c>
      <c r="M25" s="17">
        <v>8.0</v>
      </c>
      <c r="N25" s="19">
        <f t="shared" si="1"/>
        <v>283</v>
      </c>
      <c r="O25" s="20">
        <f t="shared" si="2"/>
        <v>23.58333333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22.5" customHeight="1">
      <c r="A26" s="12">
        <v>45741.0</v>
      </c>
      <c r="B26" s="13">
        <v>75.0</v>
      </c>
      <c r="C26" s="14">
        <v>59.0</v>
      </c>
      <c r="D26" s="14">
        <v>30.0</v>
      </c>
      <c r="E26" s="15">
        <v>49.0</v>
      </c>
      <c r="F26" s="17">
        <v>45.0</v>
      </c>
      <c r="G26" s="16">
        <v>19.0</v>
      </c>
      <c r="H26" s="17">
        <v>5.0</v>
      </c>
      <c r="I26" s="17">
        <v>1.0</v>
      </c>
      <c r="J26" s="17">
        <v>1.0</v>
      </c>
      <c r="K26" s="18">
        <v>14.0</v>
      </c>
      <c r="L26" s="17">
        <v>11.0</v>
      </c>
      <c r="M26" s="17">
        <v>11.0</v>
      </c>
      <c r="N26" s="19">
        <f t="shared" si="1"/>
        <v>320</v>
      </c>
      <c r="O26" s="20">
        <f t="shared" si="2"/>
        <v>26.66666667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22.5" customHeight="1">
      <c r="A27" s="12">
        <v>45742.0</v>
      </c>
      <c r="B27" s="13">
        <v>76.0</v>
      </c>
      <c r="C27" s="14">
        <v>56.0</v>
      </c>
      <c r="D27" s="14">
        <v>36.0</v>
      </c>
      <c r="E27" s="15">
        <v>68.0</v>
      </c>
      <c r="F27" s="17">
        <v>44.0</v>
      </c>
      <c r="G27" s="16">
        <v>21.0</v>
      </c>
      <c r="H27" s="17">
        <v>7.0</v>
      </c>
      <c r="I27" s="17">
        <v>0.0</v>
      </c>
      <c r="J27" s="17">
        <v>1.0</v>
      </c>
      <c r="K27" s="18">
        <v>15.0</v>
      </c>
      <c r="L27" s="17">
        <v>3.0</v>
      </c>
      <c r="M27" s="17">
        <v>3.0</v>
      </c>
      <c r="N27" s="19">
        <f t="shared" si="1"/>
        <v>330</v>
      </c>
      <c r="O27" s="20">
        <f t="shared" si="2"/>
        <v>27.5</v>
      </c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22.5" customHeight="1">
      <c r="A28" s="12">
        <v>45743.0</v>
      </c>
      <c r="B28" s="13">
        <v>34.0</v>
      </c>
      <c r="C28" s="14">
        <v>61.0</v>
      </c>
      <c r="D28" s="14">
        <v>23.0</v>
      </c>
      <c r="E28" s="15">
        <v>69.0</v>
      </c>
      <c r="F28" s="17">
        <v>32.0</v>
      </c>
      <c r="G28" s="16">
        <v>23.0</v>
      </c>
      <c r="H28" s="17">
        <v>9.0</v>
      </c>
      <c r="I28" s="17">
        <v>3.0</v>
      </c>
      <c r="J28" s="17">
        <v>0.0</v>
      </c>
      <c r="K28" s="18">
        <v>10.0</v>
      </c>
      <c r="L28" s="17">
        <v>12.0</v>
      </c>
      <c r="M28" s="17">
        <v>12.0</v>
      </c>
      <c r="N28" s="19">
        <f t="shared" si="1"/>
        <v>288</v>
      </c>
      <c r="O28" s="20">
        <f t="shared" si="2"/>
        <v>24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22.5" customHeight="1">
      <c r="A29" s="12">
        <v>45744.0</v>
      </c>
      <c r="B29" s="13">
        <v>53.0</v>
      </c>
      <c r="C29" s="14">
        <v>19.0</v>
      </c>
      <c r="D29" s="14">
        <v>71.0</v>
      </c>
      <c r="E29" s="15">
        <v>13.0</v>
      </c>
      <c r="F29" s="14">
        <v>50.0</v>
      </c>
      <c r="G29" s="16">
        <v>21.0</v>
      </c>
      <c r="H29" s="17">
        <v>10.0</v>
      </c>
      <c r="I29" s="17">
        <v>2.0</v>
      </c>
      <c r="J29" s="17">
        <v>2.0</v>
      </c>
      <c r="K29" s="18">
        <v>5.0</v>
      </c>
      <c r="L29" s="17">
        <v>5.0</v>
      </c>
      <c r="M29" s="17">
        <v>5.0</v>
      </c>
      <c r="N29" s="19">
        <f t="shared" si="1"/>
        <v>256</v>
      </c>
      <c r="O29" s="20">
        <f t="shared" si="2"/>
        <v>21.33333333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22.5" customHeight="1">
      <c r="A30" s="12">
        <v>45745.0</v>
      </c>
      <c r="B30" s="13">
        <v>21.0</v>
      </c>
      <c r="C30" s="14">
        <v>61.0</v>
      </c>
      <c r="D30" s="14">
        <v>20.0</v>
      </c>
      <c r="E30" s="15">
        <v>53.0</v>
      </c>
      <c r="F30" s="17">
        <v>36.0</v>
      </c>
      <c r="G30" s="16">
        <v>32.0</v>
      </c>
      <c r="H30" s="17">
        <v>6.0</v>
      </c>
      <c r="I30" s="17">
        <v>3.0</v>
      </c>
      <c r="J30" s="17">
        <v>3.0</v>
      </c>
      <c r="K30" s="18">
        <v>5.0</v>
      </c>
      <c r="L30" s="17">
        <v>9.0</v>
      </c>
      <c r="M30" s="17">
        <v>9.0</v>
      </c>
      <c r="N30" s="19">
        <f t="shared" si="1"/>
        <v>258</v>
      </c>
      <c r="O30" s="20">
        <f t="shared" si="2"/>
        <v>21.5</v>
      </c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22.5" customHeight="1">
      <c r="A31" s="12">
        <v>45746.0</v>
      </c>
      <c r="B31" s="13">
        <v>27.0</v>
      </c>
      <c r="C31" s="14">
        <v>66.0</v>
      </c>
      <c r="D31" s="14">
        <v>49.0</v>
      </c>
      <c r="E31" s="15">
        <v>18.0</v>
      </c>
      <c r="F31" s="14">
        <v>40.0</v>
      </c>
      <c r="G31" s="16">
        <v>18.0</v>
      </c>
      <c r="H31" s="17">
        <v>15.0</v>
      </c>
      <c r="I31" s="17">
        <v>4.0</v>
      </c>
      <c r="J31" s="17">
        <v>1.0</v>
      </c>
      <c r="K31" s="18">
        <v>18.0</v>
      </c>
      <c r="L31" s="17">
        <v>6.0</v>
      </c>
      <c r="M31" s="17">
        <v>6.0</v>
      </c>
      <c r="N31" s="19">
        <f t="shared" si="1"/>
        <v>268</v>
      </c>
      <c r="O31" s="20">
        <f t="shared" si="2"/>
        <v>22.33333333</v>
      </c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22.5" customHeight="1">
      <c r="A32" s="12">
        <v>45747.0</v>
      </c>
      <c r="B32" s="13">
        <v>37.0</v>
      </c>
      <c r="C32" s="14">
        <v>46.0</v>
      </c>
      <c r="D32" s="14">
        <v>32.0</v>
      </c>
      <c r="E32" s="15">
        <v>73.0</v>
      </c>
      <c r="F32" s="17">
        <v>38.0</v>
      </c>
      <c r="G32" s="16">
        <v>28.0</v>
      </c>
      <c r="H32" s="17">
        <v>11.0</v>
      </c>
      <c r="I32" s="17">
        <v>2.0</v>
      </c>
      <c r="J32" s="17">
        <v>1.0</v>
      </c>
      <c r="K32" s="18">
        <v>38.0</v>
      </c>
      <c r="L32" s="17">
        <v>11.0</v>
      </c>
      <c r="M32" s="17">
        <v>11.0</v>
      </c>
      <c r="N32" s="19">
        <f t="shared" si="1"/>
        <v>328</v>
      </c>
      <c r="O32" s="20">
        <f t="shared" si="2"/>
        <v>27.33333333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22.5" customHeight="1">
      <c r="A33" s="12">
        <v>45748.0</v>
      </c>
      <c r="B33" s="21">
        <v>16.0</v>
      </c>
      <c r="C33" s="14">
        <v>23.0</v>
      </c>
      <c r="D33" s="14">
        <v>54.0</v>
      </c>
      <c r="E33" s="16">
        <v>67.0</v>
      </c>
      <c r="F33" s="17">
        <v>47.0</v>
      </c>
      <c r="G33" s="16">
        <v>32.0</v>
      </c>
      <c r="H33" s="17">
        <v>12.0</v>
      </c>
      <c r="I33" s="14">
        <v>6.0</v>
      </c>
      <c r="J33" s="14">
        <v>4.0</v>
      </c>
      <c r="K33" s="23">
        <v>9.0</v>
      </c>
      <c r="L33" s="17">
        <v>5.0</v>
      </c>
      <c r="M33" s="17">
        <v>5.0</v>
      </c>
      <c r="N33" s="19">
        <f t="shared" si="1"/>
        <v>280</v>
      </c>
      <c r="O33" s="20">
        <f t="shared" si="2"/>
        <v>23.33333333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22.5" customHeight="1">
      <c r="A34" s="12">
        <v>45749.0</v>
      </c>
      <c r="B34" s="21">
        <v>61.0</v>
      </c>
      <c r="C34" s="14">
        <v>29.0</v>
      </c>
      <c r="D34" s="14">
        <v>52.0</v>
      </c>
      <c r="E34" s="16">
        <v>31.0</v>
      </c>
      <c r="F34" s="17">
        <v>33.0</v>
      </c>
      <c r="G34" s="16">
        <v>23.0</v>
      </c>
      <c r="H34" s="17">
        <v>6.0</v>
      </c>
      <c r="I34" s="14">
        <v>4.0</v>
      </c>
      <c r="J34" s="14">
        <v>6.0</v>
      </c>
      <c r="K34" s="23">
        <v>7.0</v>
      </c>
      <c r="L34" s="17">
        <v>7.0</v>
      </c>
      <c r="M34" s="17">
        <v>7.0</v>
      </c>
      <c r="N34" s="19">
        <f t="shared" si="1"/>
        <v>266</v>
      </c>
      <c r="O34" s="20">
        <f t="shared" si="2"/>
        <v>22.16666667</v>
      </c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22.5" customHeight="1">
      <c r="A35" s="12">
        <v>45750.0</v>
      </c>
      <c r="B35" s="21">
        <v>62.0</v>
      </c>
      <c r="C35" s="14">
        <v>24.0</v>
      </c>
      <c r="D35" s="14">
        <v>60.0</v>
      </c>
      <c r="E35" s="16">
        <v>117.0</v>
      </c>
      <c r="F35" s="14">
        <v>29.0</v>
      </c>
      <c r="G35" s="16">
        <v>16.0</v>
      </c>
      <c r="H35" s="17">
        <v>7.0</v>
      </c>
      <c r="I35" s="14">
        <v>7.0</v>
      </c>
      <c r="J35" s="14">
        <v>7.0</v>
      </c>
      <c r="K35" s="23">
        <v>12.0</v>
      </c>
      <c r="L35" s="17">
        <v>5.0</v>
      </c>
      <c r="M35" s="17">
        <v>5.0</v>
      </c>
      <c r="N35" s="19">
        <f t="shared" si="1"/>
        <v>351</v>
      </c>
      <c r="O35" s="20">
        <f t="shared" si="2"/>
        <v>29.25</v>
      </c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22.5" customHeight="1">
      <c r="A36" s="12">
        <v>45751.0</v>
      </c>
      <c r="B36" s="21">
        <v>46.0</v>
      </c>
      <c r="C36" s="14">
        <v>74.0</v>
      </c>
      <c r="D36" s="14">
        <v>46.0</v>
      </c>
      <c r="E36" s="16">
        <v>98.0</v>
      </c>
      <c r="F36" s="17">
        <v>43.0</v>
      </c>
      <c r="G36" s="16">
        <v>29.0</v>
      </c>
      <c r="H36" s="17">
        <v>18.0</v>
      </c>
      <c r="I36" s="14">
        <v>2.0</v>
      </c>
      <c r="J36" s="14">
        <v>2.0</v>
      </c>
      <c r="K36" s="23">
        <v>13.0</v>
      </c>
      <c r="L36" s="17">
        <v>9.0</v>
      </c>
      <c r="M36" s="17">
        <v>9.0</v>
      </c>
      <c r="N36" s="19">
        <f t="shared" si="1"/>
        <v>389</v>
      </c>
      <c r="O36" s="20">
        <f t="shared" si="2"/>
        <v>32.41666667</v>
      </c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22.5" customHeight="1">
      <c r="A37" s="12">
        <v>45752.0</v>
      </c>
      <c r="B37" s="21">
        <v>35.0</v>
      </c>
      <c r="C37" s="14">
        <v>54.0</v>
      </c>
      <c r="D37" s="14">
        <v>34.0</v>
      </c>
      <c r="E37" s="16">
        <v>58.0</v>
      </c>
      <c r="F37" s="14">
        <v>52.0</v>
      </c>
      <c r="G37" s="16">
        <v>21.0</v>
      </c>
      <c r="H37" s="17">
        <v>8.0</v>
      </c>
      <c r="I37" s="14">
        <v>6.0</v>
      </c>
      <c r="J37" s="14">
        <v>8.0</v>
      </c>
      <c r="K37" s="23">
        <v>10.0</v>
      </c>
      <c r="L37" s="17">
        <v>7.0</v>
      </c>
      <c r="M37" s="17">
        <v>7.0</v>
      </c>
      <c r="N37" s="19">
        <f t="shared" si="1"/>
        <v>300</v>
      </c>
      <c r="O37" s="20">
        <f t="shared" si="2"/>
        <v>25</v>
      </c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22.5" customHeight="1">
      <c r="A38" s="12">
        <v>45753.0</v>
      </c>
      <c r="B38" s="21">
        <v>78.0</v>
      </c>
      <c r="C38" s="14">
        <v>28.0</v>
      </c>
      <c r="D38" s="14">
        <v>82.0</v>
      </c>
      <c r="E38" s="16">
        <v>100.0</v>
      </c>
      <c r="F38" s="14">
        <v>50.0</v>
      </c>
      <c r="G38" s="16">
        <v>26.0</v>
      </c>
      <c r="H38" s="17">
        <v>6.0</v>
      </c>
      <c r="I38" s="14">
        <v>3.0</v>
      </c>
      <c r="J38" s="14">
        <v>3.0</v>
      </c>
      <c r="K38" s="23">
        <v>16.0</v>
      </c>
      <c r="L38" s="17">
        <v>11.0</v>
      </c>
      <c r="M38" s="17">
        <v>11.0</v>
      </c>
      <c r="N38" s="19">
        <f t="shared" si="1"/>
        <v>414</v>
      </c>
      <c r="O38" s="20">
        <f t="shared" si="2"/>
        <v>34.5</v>
      </c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22.5" customHeight="1">
      <c r="A39" s="12">
        <v>45754.0</v>
      </c>
      <c r="B39" s="21">
        <v>60.0</v>
      </c>
      <c r="C39" s="14">
        <v>23.0</v>
      </c>
      <c r="D39" s="14">
        <v>22.0</v>
      </c>
      <c r="E39" s="16">
        <v>68.0</v>
      </c>
      <c r="F39" s="17">
        <v>31.0</v>
      </c>
      <c r="G39" s="16">
        <v>22.0</v>
      </c>
      <c r="H39" s="17">
        <v>8.0</v>
      </c>
      <c r="I39" s="14">
        <v>2.0</v>
      </c>
      <c r="J39" s="14">
        <v>3.5</v>
      </c>
      <c r="K39" s="23">
        <v>11.0</v>
      </c>
      <c r="L39" s="17">
        <v>9.0</v>
      </c>
      <c r="M39" s="17">
        <v>9.0</v>
      </c>
      <c r="N39" s="19">
        <f t="shared" si="1"/>
        <v>268.5</v>
      </c>
      <c r="O39" s="20">
        <f t="shared" si="2"/>
        <v>22.375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22.5" customHeight="1">
      <c r="A40" s="12">
        <v>45755.0</v>
      </c>
      <c r="B40" s="21">
        <v>42.0</v>
      </c>
      <c r="C40" s="14">
        <v>18.0</v>
      </c>
      <c r="D40" s="14">
        <v>41.0</v>
      </c>
      <c r="E40" s="16">
        <v>51.0</v>
      </c>
      <c r="F40" s="17">
        <v>49.0</v>
      </c>
      <c r="G40" s="16">
        <v>29.0</v>
      </c>
      <c r="H40" s="17">
        <v>13.0</v>
      </c>
      <c r="I40" s="14">
        <v>4.0</v>
      </c>
      <c r="J40" s="14">
        <v>4.0</v>
      </c>
      <c r="K40" s="23">
        <v>17.0</v>
      </c>
      <c r="L40" s="17">
        <v>4.0</v>
      </c>
      <c r="M40" s="17">
        <v>4.0</v>
      </c>
      <c r="N40" s="19">
        <f t="shared" si="1"/>
        <v>276</v>
      </c>
      <c r="O40" s="20">
        <f t="shared" si="2"/>
        <v>23</v>
      </c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22.5" customHeight="1">
      <c r="A41" s="12">
        <v>45756.0</v>
      </c>
      <c r="B41" s="21">
        <v>67.0</v>
      </c>
      <c r="C41" s="14">
        <v>35.0</v>
      </c>
      <c r="D41" s="14">
        <v>60.0</v>
      </c>
      <c r="E41" s="15">
        <v>37.0</v>
      </c>
      <c r="F41" s="17">
        <v>57.0</v>
      </c>
      <c r="G41" s="16">
        <v>17.0</v>
      </c>
      <c r="H41" s="17">
        <v>14.0</v>
      </c>
      <c r="I41" s="14">
        <v>5.0</v>
      </c>
      <c r="J41" s="14">
        <v>2.0</v>
      </c>
      <c r="K41" s="23">
        <v>11.0</v>
      </c>
      <c r="L41" s="17">
        <v>6.0</v>
      </c>
      <c r="M41" s="17">
        <v>6.0</v>
      </c>
      <c r="N41" s="19">
        <f t="shared" si="1"/>
        <v>317</v>
      </c>
      <c r="O41" s="20">
        <f t="shared" si="2"/>
        <v>26.41666667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22.5" customHeight="1">
      <c r="A42" s="12">
        <v>45757.0</v>
      </c>
      <c r="B42" s="21">
        <v>69.0</v>
      </c>
      <c r="C42" s="14">
        <v>54.0</v>
      </c>
      <c r="D42" s="14">
        <v>20.0</v>
      </c>
      <c r="E42" s="16">
        <v>69.0</v>
      </c>
      <c r="F42" s="14">
        <v>46.0</v>
      </c>
      <c r="G42" s="16">
        <v>28.0</v>
      </c>
      <c r="H42" s="17">
        <v>11.0</v>
      </c>
      <c r="I42" s="14">
        <v>2.0</v>
      </c>
      <c r="J42" s="14">
        <v>4.0</v>
      </c>
      <c r="K42" s="23">
        <v>17.0</v>
      </c>
      <c r="L42" s="17">
        <v>11.0</v>
      </c>
      <c r="M42" s="17">
        <v>11.0</v>
      </c>
      <c r="N42" s="19">
        <f t="shared" si="1"/>
        <v>342</v>
      </c>
      <c r="O42" s="20">
        <f t="shared" si="2"/>
        <v>28.5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22.5" customHeight="1">
      <c r="A43" s="12">
        <v>45758.0</v>
      </c>
      <c r="B43" s="21">
        <v>30.0</v>
      </c>
      <c r="C43" s="14">
        <v>23.0</v>
      </c>
      <c r="D43" s="14">
        <v>41.0</v>
      </c>
      <c r="E43" s="16">
        <v>89.0</v>
      </c>
      <c r="F43" s="17">
        <v>37.0</v>
      </c>
      <c r="G43" s="16">
        <v>31.0</v>
      </c>
      <c r="H43" s="17">
        <v>7.0</v>
      </c>
      <c r="I43" s="14">
        <v>0.0</v>
      </c>
      <c r="J43" s="14">
        <v>6.0</v>
      </c>
      <c r="K43" s="23">
        <v>15.0</v>
      </c>
      <c r="L43" s="17">
        <v>4.0</v>
      </c>
      <c r="M43" s="17">
        <v>4.0</v>
      </c>
      <c r="N43" s="19">
        <f t="shared" si="1"/>
        <v>287</v>
      </c>
      <c r="O43" s="20">
        <f t="shared" si="2"/>
        <v>23.91666667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22.5" customHeight="1">
      <c r="A44" s="12">
        <v>45759.0</v>
      </c>
      <c r="B44" s="21">
        <v>45.0</v>
      </c>
      <c r="C44" s="14">
        <v>64.0</v>
      </c>
      <c r="D44" s="14">
        <v>21.0</v>
      </c>
      <c r="E44" s="16">
        <v>24.0</v>
      </c>
      <c r="F44" s="14">
        <v>58.0</v>
      </c>
      <c r="G44" s="16">
        <v>18.0</v>
      </c>
      <c r="H44" s="17">
        <v>11.0</v>
      </c>
      <c r="I44" s="14">
        <v>3.0</v>
      </c>
      <c r="J44" s="14">
        <v>6.0</v>
      </c>
      <c r="K44" s="23">
        <v>10.0</v>
      </c>
      <c r="L44" s="17">
        <v>12.0</v>
      </c>
      <c r="M44" s="17">
        <v>12.0</v>
      </c>
      <c r="N44" s="19">
        <f t="shared" si="1"/>
        <v>284</v>
      </c>
      <c r="O44" s="20">
        <f t="shared" si="2"/>
        <v>23.66666667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22.5" customHeight="1">
      <c r="A45" s="12">
        <v>45760.0</v>
      </c>
      <c r="B45" s="21">
        <v>18.0</v>
      </c>
      <c r="C45" s="14">
        <v>52.0</v>
      </c>
      <c r="D45" s="14">
        <v>38.0</v>
      </c>
      <c r="E45" s="16">
        <v>71.0</v>
      </c>
      <c r="F45" s="17">
        <v>43.0</v>
      </c>
      <c r="G45" s="16">
        <v>32.0</v>
      </c>
      <c r="H45" s="17">
        <v>14.0</v>
      </c>
      <c r="I45" s="14">
        <v>2.0</v>
      </c>
      <c r="J45" s="14">
        <v>8.5</v>
      </c>
      <c r="K45" s="23">
        <v>15.0</v>
      </c>
      <c r="L45" s="17">
        <v>11.0</v>
      </c>
      <c r="M45" s="17">
        <v>11.0</v>
      </c>
      <c r="N45" s="19">
        <f t="shared" si="1"/>
        <v>315.5</v>
      </c>
      <c r="O45" s="20">
        <f t="shared" si="2"/>
        <v>26.29166667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22.5" customHeight="1">
      <c r="A46" s="12">
        <v>45761.0</v>
      </c>
      <c r="B46" s="13">
        <v>22.0</v>
      </c>
      <c r="C46" s="14">
        <v>35.0</v>
      </c>
      <c r="D46" s="14">
        <v>29.0</v>
      </c>
      <c r="E46" s="16">
        <v>71.0</v>
      </c>
      <c r="F46" s="17">
        <v>46.0</v>
      </c>
      <c r="G46" s="16">
        <v>22.0</v>
      </c>
      <c r="H46" s="17">
        <v>7.0</v>
      </c>
      <c r="I46" s="14">
        <v>3.0</v>
      </c>
      <c r="J46" s="14">
        <v>5.0</v>
      </c>
      <c r="K46" s="18">
        <v>16.0</v>
      </c>
      <c r="L46" s="17">
        <v>12.0</v>
      </c>
      <c r="M46" s="17">
        <v>12.0</v>
      </c>
      <c r="N46" s="19">
        <f t="shared" si="1"/>
        <v>280</v>
      </c>
      <c r="O46" s="20">
        <f t="shared" si="2"/>
        <v>23.33333333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ht="22.5" customHeight="1">
      <c r="A47" s="12">
        <v>45762.0</v>
      </c>
      <c r="B47" s="13">
        <v>58.0</v>
      </c>
      <c r="C47" s="14">
        <v>91.0</v>
      </c>
      <c r="D47" s="14">
        <v>52.0</v>
      </c>
      <c r="E47" s="16">
        <v>56.0</v>
      </c>
      <c r="F47" s="14">
        <v>60.0</v>
      </c>
      <c r="G47" s="16">
        <v>18.0</v>
      </c>
      <c r="H47" s="17">
        <v>5.0</v>
      </c>
      <c r="I47" s="14">
        <v>7.0</v>
      </c>
      <c r="J47" s="14">
        <v>2.0</v>
      </c>
      <c r="K47" s="18">
        <v>12.0</v>
      </c>
      <c r="L47" s="17">
        <v>7.0</v>
      </c>
      <c r="M47" s="17">
        <v>7.0</v>
      </c>
      <c r="N47" s="19">
        <f t="shared" si="1"/>
        <v>375</v>
      </c>
      <c r="O47" s="20">
        <f t="shared" si="2"/>
        <v>31.25</v>
      </c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ht="22.5" customHeight="1">
      <c r="A48" s="12">
        <v>45763.0</v>
      </c>
      <c r="B48" s="13">
        <v>49.0</v>
      </c>
      <c r="C48" s="14">
        <v>71.0</v>
      </c>
      <c r="D48" s="14">
        <v>29.0</v>
      </c>
      <c r="E48" s="16">
        <v>71.0</v>
      </c>
      <c r="F48" s="17">
        <v>33.0</v>
      </c>
      <c r="G48" s="16">
        <v>16.0</v>
      </c>
      <c r="H48" s="17">
        <v>9.0</v>
      </c>
      <c r="I48" s="14">
        <v>8.0</v>
      </c>
      <c r="J48" s="14">
        <v>3.0</v>
      </c>
      <c r="K48" s="18">
        <v>15.0</v>
      </c>
      <c r="L48" s="17">
        <v>4.0</v>
      </c>
      <c r="M48" s="17">
        <v>4.0</v>
      </c>
      <c r="N48" s="19">
        <f t="shared" si="1"/>
        <v>312</v>
      </c>
      <c r="O48" s="20">
        <f t="shared" si="2"/>
        <v>26</v>
      </c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ht="22.5" customHeight="1">
      <c r="A49" s="12">
        <v>45764.0</v>
      </c>
      <c r="B49" s="13">
        <v>29.0</v>
      </c>
      <c r="C49" s="14">
        <v>32.0</v>
      </c>
      <c r="D49" s="14">
        <v>71.0</v>
      </c>
      <c r="E49" s="16">
        <v>60.0</v>
      </c>
      <c r="F49" s="17">
        <v>31.0</v>
      </c>
      <c r="G49" s="16">
        <v>20.0</v>
      </c>
      <c r="H49" s="17">
        <v>12.0</v>
      </c>
      <c r="I49" s="14">
        <v>4.0</v>
      </c>
      <c r="J49" s="14">
        <v>4.0</v>
      </c>
      <c r="K49" s="18">
        <v>23.0</v>
      </c>
      <c r="L49" s="17">
        <v>6.0</v>
      </c>
      <c r="M49" s="17">
        <v>6.0</v>
      </c>
      <c r="N49" s="19">
        <f t="shared" si="1"/>
        <v>298</v>
      </c>
      <c r="O49" s="20">
        <f t="shared" si="2"/>
        <v>24.83333333</v>
      </c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22.5" customHeight="1">
      <c r="A50" s="12">
        <v>45765.0</v>
      </c>
      <c r="B50" s="13">
        <v>31.0</v>
      </c>
      <c r="C50" s="14">
        <v>59.0</v>
      </c>
      <c r="D50" s="14">
        <v>45.0</v>
      </c>
      <c r="E50" s="15">
        <v>55.0</v>
      </c>
      <c r="F50" s="17">
        <v>35.0</v>
      </c>
      <c r="G50" s="16">
        <v>24.0</v>
      </c>
      <c r="H50" s="17">
        <v>18.0</v>
      </c>
      <c r="I50" s="14">
        <v>7.5</v>
      </c>
      <c r="J50" s="14">
        <v>1.0</v>
      </c>
      <c r="K50" s="18">
        <v>17.0</v>
      </c>
      <c r="L50" s="17">
        <v>9.0</v>
      </c>
      <c r="M50" s="17">
        <v>9.0</v>
      </c>
      <c r="N50" s="19">
        <f t="shared" si="1"/>
        <v>310.5</v>
      </c>
      <c r="O50" s="20">
        <f t="shared" si="2"/>
        <v>25.875</v>
      </c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ht="22.5" customHeight="1">
      <c r="A51" s="12">
        <v>45766.0</v>
      </c>
      <c r="B51" s="13">
        <v>27.0</v>
      </c>
      <c r="C51" s="14">
        <v>59.0</v>
      </c>
      <c r="D51" s="14">
        <v>41.0</v>
      </c>
      <c r="E51" s="16">
        <v>64.0</v>
      </c>
      <c r="F51" s="17">
        <v>33.0</v>
      </c>
      <c r="G51" s="16">
        <v>18.0</v>
      </c>
      <c r="H51" s="17">
        <v>7.0</v>
      </c>
      <c r="I51" s="14">
        <v>3.0</v>
      </c>
      <c r="J51" s="14">
        <v>2.0</v>
      </c>
      <c r="K51" s="18">
        <v>18.0</v>
      </c>
      <c r="L51" s="17">
        <v>10.0</v>
      </c>
      <c r="M51" s="17">
        <v>10.0</v>
      </c>
      <c r="N51" s="19">
        <f t="shared" si="1"/>
        <v>292</v>
      </c>
      <c r="O51" s="20">
        <f t="shared" si="2"/>
        <v>24.33333333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22.5" customHeight="1">
      <c r="A52" s="12">
        <v>45767.0</v>
      </c>
      <c r="B52" s="13">
        <v>62.0</v>
      </c>
      <c r="C52" s="14">
        <v>41.0</v>
      </c>
      <c r="D52" s="14">
        <v>19.0</v>
      </c>
      <c r="E52" s="16">
        <v>73.0</v>
      </c>
      <c r="F52" s="14">
        <v>38.0</v>
      </c>
      <c r="G52" s="16">
        <v>32.0</v>
      </c>
      <c r="H52" s="17">
        <v>6.0</v>
      </c>
      <c r="I52" s="14">
        <v>5.0</v>
      </c>
      <c r="J52" s="14">
        <v>3.0</v>
      </c>
      <c r="K52" s="18">
        <v>19.0</v>
      </c>
      <c r="L52" s="17">
        <v>5.0</v>
      </c>
      <c r="M52" s="17">
        <v>5.0</v>
      </c>
      <c r="N52" s="19">
        <f t="shared" si="1"/>
        <v>308</v>
      </c>
      <c r="O52" s="20">
        <f t="shared" si="2"/>
        <v>25.66666667</v>
      </c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22.5" customHeight="1">
      <c r="A53" s="12">
        <v>45768.0</v>
      </c>
      <c r="B53" s="13">
        <v>46.0</v>
      </c>
      <c r="C53" s="14">
        <v>48.0</v>
      </c>
      <c r="D53" s="14">
        <v>25.0</v>
      </c>
      <c r="E53" s="16">
        <v>12.0</v>
      </c>
      <c r="F53" s="17">
        <v>47.0</v>
      </c>
      <c r="G53" s="16">
        <v>26.0</v>
      </c>
      <c r="H53" s="17">
        <v>13.0</v>
      </c>
      <c r="I53" s="14">
        <v>2.0</v>
      </c>
      <c r="J53" s="14">
        <v>4.0</v>
      </c>
      <c r="K53" s="18">
        <v>25.0</v>
      </c>
      <c r="L53" s="17">
        <v>3.0</v>
      </c>
      <c r="M53" s="17">
        <v>3.0</v>
      </c>
      <c r="N53" s="19">
        <f t="shared" si="1"/>
        <v>254</v>
      </c>
      <c r="O53" s="20">
        <f t="shared" si="2"/>
        <v>21.16666667</v>
      </c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ht="22.5" customHeight="1">
      <c r="A54" s="12">
        <v>45769.0</v>
      </c>
      <c r="B54" s="13">
        <v>23.0</v>
      </c>
      <c r="C54" s="14">
        <v>93.0</v>
      </c>
      <c r="D54" s="14">
        <v>35.0</v>
      </c>
      <c r="E54" s="15">
        <v>60.0</v>
      </c>
      <c r="F54" s="17">
        <v>55.0</v>
      </c>
      <c r="G54" s="16">
        <v>16.0</v>
      </c>
      <c r="H54" s="17">
        <v>9.0</v>
      </c>
      <c r="I54" s="14">
        <v>5.0</v>
      </c>
      <c r="J54" s="14">
        <v>6.0</v>
      </c>
      <c r="K54" s="18">
        <v>25.0</v>
      </c>
      <c r="L54" s="17">
        <v>6.0</v>
      </c>
      <c r="M54" s="17">
        <v>6.0</v>
      </c>
      <c r="N54" s="19">
        <f t="shared" si="1"/>
        <v>339</v>
      </c>
      <c r="O54" s="20">
        <f t="shared" si="2"/>
        <v>28.25</v>
      </c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22.5" customHeight="1">
      <c r="A55" s="12">
        <v>45770.0</v>
      </c>
      <c r="B55" s="13">
        <v>35.0</v>
      </c>
      <c r="C55" s="14">
        <v>24.0</v>
      </c>
      <c r="D55" s="14">
        <v>43.0</v>
      </c>
      <c r="E55" s="16">
        <v>60.0</v>
      </c>
      <c r="F55" s="14">
        <v>41.0</v>
      </c>
      <c r="G55" s="16">
        <v>24.0</v>
      </c>
      <c r="H55" s="17">
        <v>11.0</v>
      </c>
      <c r="I55" s="14">
        <v>3.0</v>
      </c>
      <c r="J55" s="14">
        <v>6.0</v>
      </c>
      <c r="K55" s="18">
        <v>15.0</v>
      </c>
      <c r="L55" s="17">
        <v>4.0</v>
      </c>
      <c r="M55" s="17">
        <v>4.0</v>
      </c>
      <c r="N55" s="19">
        <f t="shared" si="1"/>
        <v>270</v>
      </c>
      <c r="O55" s="20">
        <f t="shared" si="2"/>
        <v>22.5</v>
      </c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22.5" customHeight="1">
      <c r="A56" s="12">
        <v>45771.0</v>
      </c>
      <c r="B56" s="13">
        <v>51.0</v>
      </c>
      <c r="C56" s="14">
        <v>27.0</v>
      </c>
      <c r="D56" s="14">
        <v>36.0</v>
      </c>
      <c r="E56" s="16">
        <v>16.0</v>
      </c>
      <c r="F56" s="17">
        <v>39.0</v>
      </c>
      <c r="G56" s="16">
        <v>18.0</v>
      </c>
      <c r="H56" s="17">
        <v>5.0</v>
      </c>
      <c r="I56" s="14">
        <v>1.0</v>
      </c>
      <c r="J56" s="14">
        <v>5.0</v>
      </c>
      <c r="K56" s="18">
        <v>20.0</v>
      </c>
      <c r="L56" s="17">
        <v>10.0</v>
      </c>
      <c r="M56" s="17">
        <v>10.0</v>
      </c>
      <c r="N56" s="19">
        <f t="shared" si="1"/>
        <v>238</v>
      </c>
      <c r="O56" s="20">
        <f t="shared" si="2"/>
        <v>19.83333333</v>
      </c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ht="22.5" customHeight="1">
      <c r="A57" s="12">
        <v>45772.0</v>
      </c>
      <c r="B57" s="13">
        <v>39.0</v>
      </c>
      <c r="C57" s="14">
        <v>31.0</v>
      </c>
      <c r="D57" s="14">
        <v>29.0</v>
      </c>
      <c r="E57" s="16">
        <v>30.0</v>
      </c>
      <c r="F57" s="14">
        <v>45.0</v>
      </c>
      <c r="G57" s="16">
        <v>28.0</v>
      </c>
      <c r="H57" s="17">
        <v>5.0</v>
      </c>
      <c r="I57" s="14">
        <v>4.0</v>
      </c>
      <c r="J57" s="14">
        <v>2.0</v>
      </c>
      <c r="K57" s="18">
        <v>14.0</v>
      </c>
      <c r="L57" s="17">
        <v>6.0</v>
      </c>
      <c r="M57" s="17">
        <v>6.0</v>
      </c>
      <c r="N57" s="19">
        <f t="shared" si="1"/>
        <v>239</v>
      </c>
      <c r="O57" s="20">
        <f t="shared" si="2"/>
        <v>19.91666667</v>
      </c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ht="22.5" customHeight="1">
      <c r="A58" s="12">
        <v>45773.0</v>
      </c>
      <c r="B58" s="13">
        <v>39.0</v>
      </c>
      <c r="C58" s="14">
        <v>39.0</v>
      </c>
      <c r="D58" s="14">
        <v>86.0</v>
      </c>
      <c r="E58" s="16">
        <v>82.0</v>
      </c>
      <c r="F58" s="17">
        <v>43.0</v>
      </c>
      <c r="G58" s="16">
        <v>30.0</v>
      </c>
      <c r="H58" s="17">
        <v>9.0</v>
      </c>
      <c r="I58" s="14">
        <v>6.0</v>
      </c>
      <c r="J58" s="14">
        <v>3.0</v>
      </c>
      <c r="K58" s="18">
        <v>18.0</v>
      </c>
      <c r="L58" s="17">
        <v>4.0</v>
      </c>
      <c r="M58" s="17">
        <v>4.0</v>
      </c>
      <c r="N58" s="19">
        <f t="shared" si="1"/>
        <v>363</v>
      </c>
      <c r="O58" s="20">
        <f t="shared" si="2"/>
        <v>30.25</v>
      </c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ht="22.5" customHeight="1">
      <c r="A59" s="12">
        <v>45774.0</v>
      </c>
      <c r="B59" s="13">
        <v>40.0</v>
      </c>
      <c r="C59" s="14">
        <v>34.0</v>
      </c>
      <c r="D59" s="14">
        <v>37.0</v>
      </c>
      <c r="E59" s="16">
        <v>48.0</v>
      </c>
      <c r="F59" s="17">
        <v>60.0</v>
      </c>
      <c r="G59" s="16">
        <v>29.0</v>
      </c>
      <c r="H59" s="17">
        <v>16.0</v>
      </c>
      <c r="I59" s="14">
        <v>3.0</v>
      </c>
      <c r="J59" s="14">
        <v>7.0</v>
      </c>
      <c r="K59" s="18">
        <v>15.0</v>
      </c>
      <c r="L59" s="17">
        <v>8.0</v>
      </c>
      <c r="M59" s="17">
        <v>8.0</v>
      </c>
      <c r="N59" s="19">
        <f t="shared" si="1"/>
        <v>305</v>
      </c>
      <c r="O59" s="20">
        <f t="shared" si="2"/>
        <v>25.41666667</v>
      </c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ht="22.5" customHeight="1">
      <c r="A60" s="12">
        <v>45775.0</v>
      </c>
      <c r="B60" s="21">
        <v>56.0</v>
      </c>
      <c r="C60" s="14">
        <v>22.0</v>
      </c>
      <c r="D60" s="14">
        <v>31.0</v>
      </c>
      <c r="E60" s="16">
        <v>27.0</v>
      </c>
      <c r="F60" s="14">
        <v>49.0</v>
      </c>
      <c r="G60" s="16">
        <v>22.0</v>
      </c>
      <c r="H60" s="17">
        <v>7.0</v>
      </c>
      <c r="I60" s="14">
        <v>2.0</v>
      </c>
      <c r="J60" s="14">
        <v>4.0</v>
      </c>
      <c r="K60" s="22">
        <v>11.0</v>
      </c>
      <c r="L60" s="17">
        <v>8.0</v>
      </c>
      <c r="M60" s="17">
        <v>8.0</v>
      </c>
      <c r="N60" s="19">
        <f t="shared" si="1"/>
        <v>247</v>
      </c>
      <c r="O60" s="20">
        <f t="shared" si="2"/>
        <v>20.58333333</v>
      </c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22.5" customHeight="1">
      <c r="A61" s="12">
        <v>45776.0</v>
      </c>
      <c r="B61" s="21">
        <v>73.0</v>
      </c>
      <c r="C61" s="14">
        <v>30.0</v>
      </c>
      <c r="D61" s="14">
        <v>22.0</v>
      </c>
      <c r="E61" s="16">
        <v>13.0</v>
      </c>
      <c r="F61" s="14">
        <v>50.0</v>
      </c>
      <c r="G61" s="16">
        <v>28.0</v>
      </c>
      <c r="H61" s="17">
        <v>7.0</v>
      </c>
      <c r="I61" s="14">
        <v>4.0</v>
      </c>
      <c r="J61" s="14">
        <v>5.0</v>
      </c>
      <c r="K61" s="22">
        <v>9.0</v>
      </c>
      <c r="L61" s="17">
        <v>12.0</v>
      </c>
      <c r="M61" s="17">
        <v>12.0</v>
      </c>
      <c r="N61" s="19">
        <f t="shared" si="1"/>
        <v>265</v>
      </c>
      <c r="O61" s="20">
        <f t="shared" si="2"/>
        <v>22.08333333</v>
      </c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22.5" customHeight="1">
      <c r="A62" s="12">
        <v>45777.0</v>
      </c>
      <c r="B62" s="21">
        <v>68.0</v>
      </c>
      <c r="C62" s="14">
        <v>78.0</v>
      </c>
      <c r="D62" s="14">
        <v>63.0</v>
      </c>
      <c r="E62" s="16">
        <v>98.0</v>
      </c>
      <c r="F62" s="17">
        <v>43.0</v>
      </c>
      <c r="G62" s="16">
        <v>22.0</v>
      </c>
      <c r="H62" s="17">
        <v>10.0</v>
      </c>
      <c r="I62" s="14">
        <v>3.0</v>
      </c>
      <c r="J62" s="14">
        <v>2.0</v>
      </c>
      <c r="K62" s="22">
        <v>12.0</v>
      </c>
      <c r="L62" s="17">
        <v>6.0</v>
      </c>
      <c r="M62" s="17">
        <v>6.0</v>
      </c>
      <c r="N62" s="19">
        <f t="shared" si="1"/>
        <v>411</v>
      </c>
      <c r="O62" s="20">
        <f t="shared" si="2"/>
        <v>34.25</v>
      </c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ht="22.5" customHeight="1">
      <c r="A63" s="24"/>
      <c r="B63" s="25">
        <f t="shared" ref="B63:O63" si="3">SUM(B2:B62)</f>
        <v>2834</v>
      </c>
      <c r="C63" s="25">
        <f t="shared" si="3"/>
        <v>2827</v>
      </c>
      <c r="D63" s="25">
        <f t="shared" si="3"/>
        <v>2784</v>
      </c>
      <c r="E63" s="25">
        <f t="shared" si="3"/>
        <v>3365</v>
      </c>
      <c r="F63" s="25">
        <f t="shared" si="3"/>
        <v>2598</v>
      </c>
      <c r="G63" s="25">
        <f t="shared" si="3"/>
        <v>1435</v>
      </c>
      <c r="H63" s="25">
        <f t="shared" si="3"/>
        <v>598</v>
      </c>
      <c r="I63" s="25">
        <f t="shared" si="3"/>
        <v>197.5</v>
      </c>
      <c r="J63" s="25">
        <f t="shared" si="3"/>
        <v>189</v>
      </c>
      <c r="K63" s="26">
        <f t="shared" si="3"/>
        <v>1187</v>
      </c>
      <c r="L63" s="25">
        <f t="shared" si="3"/>
        <v>479</v>
      </c>
      <c r="M63" s="25">
        <f t="shared" si="3"/>
        <v>464</v>
      </c>
      <c r="N63" s="27">
        <f t="shared" si="3"/>
        <v>18957.5</v>
      </c>
      <c r="O63" s="20">
        <f t="shared" si="3"/>
        <v>1579.791667</v>
      </c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ht="22.5" customHeight="1">
      <c r="A64" s="12"/>
      <c r="B64" s="28" t="s">
        <v>27</v>
      </c>
      <c r="C64" s="28" t="s">
        <v>28</v>
      </c>
      <c r="D64" s="28" t="s">
        <v>29</v>
      </c>
      <c r="E64" s="29" t="s">
        <v>41</v>
      </c>
      <c r="F64" s="29" t="s">
        <v>31</v>
      </c>
      <c r="G64" s="28" t="s">
        <v>32</v>
      </c>
      <c r="H64" s="29" t="s">
        <v>42</v>
      </c>
      <c r="I64" s="28" t="s">
        <v>34</v>
      </c>
      <c r="J64" s="28" t="s">
        <v>35</v>
      </c>
      <c r="K64" s="29" t="s">
        <v>36</v>
      </c>
      <c r="L64" s="29" t="s">
        <v>43</v>
      </c>
      <c r="M64" s="29" t="s">
        <v>44</v>
      </c>
      <c r="N64" s="30" t="s">
        <v>39</v>
      </c>
      <c r="O64" s="31" t="s">
        <v>45</v>
      </c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1"/>
      <c r="B69" s="11"/>
      <c r="C69" s="33" t="s">
        <v>46</v>
      </c>
      <c r="D69" s="33" t="s">
        <v>3</v>
      </c>
      <c r="E69" s="33" t="s">
        <v>47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11"/>
      <c r="B70" s="11"/>
      <c r="C70" s="34" t="s">
        <v>27</v>
      </c>
      <c r="D70" s="35">
        <v>32591.0</v>
      </c>
      <c r="E70" s="34">
        <v>2834.0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1"/>
      <c r="B71" s="11"/>
      <c r="C71" s="36" t="s">
        <v>48</v>
      </c>
      <c r="D71" s="37">
        <v>5654.0</v>
      </c>
      <c r="E71" s="36">
        <v>2827.0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11"/>
      <c r="B72" s="11"/>
      <c r="C72" s="34" t="s">
        <v>29</v>
      </c>
      <c r="D72" s="35">
        <v>18932.0</v>
      </c>
      <c r="E72" s="34">
        <v>2784.0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1"/>
      <c r="B73" s="11"/>
      <c r="C73" s="38" t="s">
        <v>30</v>
      </c>
      <c r="D73" s="37">
        <v>12894.5</v>
      </c>
      <c r="E73" s="36">
        <v>3365.0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11"/>
      <c r="B74" s="11"/>
      <c r="C74" s="34" t="s">
        <v>31</v>
      </c>
      <c r="D74" s="35">
        <v>7794.0</v>
      </c>
      <c r="E74" s="34">
        <v>2598.0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11"/>
      <c r="B75" s="11"/>
      <c r="C75" s="36" t="s">
        <v>34</v>
      </c>
      <c r="D75" s="37">
        <v>12297.5</v>
      </c>
      <c r="E75" s="36">
        <v>197.5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1"/>
      <c r="B76" s="11"/>
      <c r="C76" s="34" t="s">
        <v>35</v>
      </c>
      <c r="D76" s="35">
        <v>34020.0</v>
      </c>
      <c r="E76" s="34">
        <v>189.0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1"/>
      <c r="B77" s="11"/>
      <c r="C77" s="36" t="s">
        <v>36</v>
      </c>
      <c r="D77" s="37">
        <v>11870.0</v>
      </c>
      <c r="E77" s="39">
        <v>1187.0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1"/>
      <c r="B78" s="11"/>
      <c r="C78" s="34" t="s">
        <v>32</v>
      </c>
      <c r="D78" s="35">
        <v>14350.0</v>
      </c>
      <c r="E78" s="34">
        <v>1435.0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1"/>
      <c r="B79" s="11"/>
      <c r="C79" s="36" t="s">
        <v>37</v>
      </c>
      <c r="D79" s="37">
        <v>9870.0</v>
      </c>
      <c r="E79" s="36">
        <v>479.0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11"/>
      <c r="B80" s="11"/>
      <c r="C80" s="34" t="s">
        <v>33</v>
      </c>
      <c r="D80" s="35">
        <v>4726.0</v>
      </c>
      <c r="E80" s="34">
        <v>598.0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36" t="s">
        <v>38</v>
      </c>
      <c r="D81" s="37">
        <v>6960.0</v>
      </c>
      <c r="E81" s="36">
        <v>464.0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1"/>
      <c r="B82" s="11"/>
      <c r="C82" s="40" t="s">
        <v>49</v>
      </c>
      <c r="D82" s="41">
        <f t="shared" ref="D82:E82" si="4">SUM(D70:D81)</f>
        <v>171959</v>
      </c>
      <c r="E82" s="42">
        <f t="shared" si="4"/>
        <v>18957.5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</sheetData>
  <dataValidations>
    <dataValidation type="custom" allowBlank="1" showDropDown="1" sqref="A2:A64">
      <formula1>OR(NOT(ISERROR(DATEVALUE(A2))), AND(ISNUMBER(A2), LEFT(CELL("format", A2))="D"))</formula1>
    </dataValidation>
    <dataValidation type="custom" allowBlank="1" showDropDown="1" sqref="O2:O64">
      <formula1>AND(ISNUMBER(O2),(NOT(OR(NOT(ISERROR(DATEVALUE(O2))), AND(ISNUMBER(O2), LEFT(CELL("format", O2))="D")))))</formula1>
    </dataValidation>
  </dataValidation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4.38"/>
    <col customWidth="1" min="3" max="3" width="13.5"/>
    <col customWidth="1" min="4" max="4" width="18.0"/>
    <col customWidth="1" min="5" max="5" width="19.0"/>
    <col customWidth="1" min="6" max="6" width="18.38"/>
    <col customWidth="1" min="7" max="7" width="23.63"/>
    <col customWidth="1" min="8" max="8" width="19.13"/>
    <col customWidth="1" min="9" max="9" width="15.63"/>
    <col customWidth="1" min="10" max="10" width="17.0"/>
    <col customWidth="1" min="11" max="11" width="17.63"/>
    <col customWidth="1" min="12" max="12" width="20.0"/>
    <col customWidth="1" min="13" max="13" width="19.88"/>
    <col customWidth="1" min="14" max="14" width="21.5"/>
    <col customWidth="1" min="15" max="15" width="20.63"/>
  </cols>
  <sheetData>
    <row r="1" ht="22.5" customHeight="1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9" t="s">
        <v>50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ht="22.5" customHeight="1">
      <c r="A2" s="12">
        <v>45717.0</v>
      </c>
      <c r="B2" s="43">
        <v>2040.0</v>
      </c>
      <c r="C2" s="44">
        <v>2816.0</v>
      </c>
      <c r="D2" s="44">
        <v>5640.0</v>
      </c>
      <c r="E2" s="45">
        <v>2345.0</v>
      </c>
      <c r="F2" s="44">
        <v>1860.0</v>
      </c>
      <c r="G2" s="45">
        <v>840.0</v>
      </c>
      <c r="H2" s="44">
        <v>840.0</v>
      </c>
      <c r="I2" s="44">
        <v>3250.0</v>
      </c>
      <c r="J2" s="44">
        <v>1600.0</v>
      </c>
      <c r="K2" s="44">
        <v>1600.0</v>
      </c>
      <c r="L2" s="44">
        <v>2660.0</v>
      </c>
      <c r="M2" s="44">
        <v>1170.0</v>
      </c>
      <c r="N2" s="45">
        <f t="shared" ref="N2:N62" si="1">SUM(B2:M2)</f>
        <v>26661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ht="22.5" customHeight="1">
      <c r="A3" s="12">
        <v>45718.0</v>
      </c>
      <c r="B3" s="43">
        <v>4620.0</v>
      </c>
      <c r="C3" s="44">
        <v>1232.0</v>
      </c>
      <c r="D3" s="44">
        <v>6600.0</v>
      </c>
      <c r="E3" s="45">
        <v>2170.0</v>
      </c>
      <c r="F3" s="44">
        <v>1740.0</v>
      </c>
      <c r="G3" s="45">
        <v>1160.0</v>
      </c>
      <c r="H3" s="44">
        <v>1320.0</v>
      </c>
      <c r="I3" s="44">
        <v>1300.0</v>
      </c>
      <c r="J3" s="44">
        <v>2400.0</v>
      </c>
      <c r="K3" s="44">
        <v>1600.0</v>
      </c>
      <c r="L3" s="44">
        <v>840.0</v>
      </c>
      <c r="M3" s="44">
        <v>780.0</v>
      </c>
      <c r="N3" s="45">
        <f t="shared" si="1"/>
        <v>25762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t="22.5" customHeight="1">
      <c r="A4" s="12">
        <v>45719.0</v>
      </c>
      <c r="B4" s="43">
        <v>1860.0</v>
      </c>
      <c r="C4" s="44">
        <v>2508.0</v>
      </c>
      <c r="D4" s="44">
        <v>4080.0</v>
      </c>
      <c r="E4" s="45">
        <v>1540.0</v>
      </c>
      <c r="F4" s="44">
        <v>1920.0</v>
      </c>
      <c r="G4" s="45">
        <v>1000.0</v>
      </c>
      <c r="H4" s="44">
        <v>1200.0</v>
      </c>
      <c r="I4" s="44">
        <v>1950.0</v>
      </c>
      <c r="J4" s="44">
        <v>800.0</v>
      </c>
      <c r="K4" s="44">
        <v>1100.0</v>
      </c>
      <c r="L4" s="44">
        <v>1400.0</v>
      </c>
      <c r="M4" s="44">
        <v>1300.0</v>
      </c>
      <c r="N4" s="45">
        <f t="shared" si="1"/>
        <v>20658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22.5" customHeight="1">
      <c r="A5" s="12">
        <v>45720.0</v>
      </c>
      <c r="B5" s="43">
        <v>1020.0</v>
      </c>
      <c r="C5" s="44">
        <v>1452.0</v>
      </c>
      <c r="D5" s="44">
        <v>4680.0</v>
      </c>
      <c r="E5" s="45">
        <v>1575.0</v>
      </c>
      <c r="F5" s="44">
        <v>3000.0</v>
      </c>
      <c r="G5" s="45">
        <v>880.0</v>
      </c>
      <c r="H5" s="44">
        <v>600.0</v>
      </c>
      <c r="I5" s="44">
        <v>3900.0</v>
      </c>
      <c r="J5" s="44">
        <v>3200.0</v>
      </c>
      <c r="K5" s="44">
        <v>2300.0</v>
      </c>
      <c r="L5" s="44">
        <v>1680.0</v>
      </c>
      <c r="M5" s="44">
        <v>910.0</v>
      </c>
      <c r="N5" s="45">
        <f t="shared" si="1"/>
        <v>25197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22.5" customHeight="1">
      <c r="A6" s="12">
        <v>45721.0</v>
      </c>
      <c r="B6" s="43">
        <v>3000.0</v>
      </c>
      <c r="C6" s="44">
        <v>1496.0</v>
      </c>
      <c r="D6" s="44">
        <v>2520.0</v>
      </c>
      <c r="E6" s="45">
        <v>2800.0</v>
      </c>
      <c r="F6" s="44">
        <v>2280.0</v>
      </c>
      <c r="G6" s="45">
        <v>840.0</v>
      </c>
      <c r="H6" s="44">
        <v>2040.0</v>
      </c>
      <c r="I6" s="44">
        <v>650.0</v>
      </c>
      <c r="J6" s="44">
        <v>1600.0</v>
      </c>
      <c r="K6" s="44">
        <v>1700.0</v>
      </c>
      <c r="L6" s="44">
        <v>1260.0</v>
      </c>
      <c r="M6" s="44">
        <v>1170.0</v>
      </c>
      <c r="N6" s="45">
        <f t="shared" si="1"/>
        <v>21356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t="22.5" customHeight="1">
      <c r="A7" s="12">
        <v>45722.0</v>
      </c>
      <c r="B7" s="46">
        <v>2040.0</v>
      </c>
      <c r="C7" s="44">
        <v>4224.0</v>
      </c>
      <c r="D7" s="44">
        <v>5040.0</v>
      </c>
      <c r="E7" s="45">
        <v>1015.0</v>
      </c>
      <c r="F7" s="44">
        <v>2460.0</v>
      </c>
      <c r="G7" s="45">
        <v>1000.0</v>
      </c>
      <c r="H7" s="44">
        <v>720.0</v>
      </c>
      <c r="I7" s="44">
        <v>1950.0</v>
      </c>
      <c r="J7" s="44">
        <v>2400.0</v>
      </c>
      <c r="K7" s="44">
        <v>1000.0</v>
      </c>
      <c r="L7" s="44">
        <v>1680.0</v>
      </c>
      <c r="M7" s="44">
        <v>1560.0</v>
      </c>
      <c r="N7" s="45">
        <f t="shared" si="1"/>
        <v>25089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ht="22.5" customHeight="1">
      <c r="A8" s="12">
        <v>45723.0</v>
      </c>
      <c r="B8" s="43">
        <v>3120.0</v>
      </c>
      <c r="C8" s="44">
        <v>1628.0</v>
      </c>
      <c r="D8" s="44">
        <v>7200.0</v>
      </c>
      <c r="E8" s="45">
        <v>1890.0</v>
      </c>
      <c r="F8" s="44">
        <v>2400.0</v>
      </c>
      <c r="G8" s="45">
        <v>1000.0</v>
      </c>
      <c r="H8" s="44">
        <v>1080.0</v>
      </c>
      <c r="I8" s="44">
        <v>650.0</v>
      </c>
      <c r="J8" s="44">
        <v>2400.0</v>
      </c>
      <c r="K8" s="44">
        <v>1550.0</v>
      </c>
      <c r="L8" s="44">
        <v>700.0</v>
      </c>
      <c r="M8" s="44">
        <v>650.0</v>
      </c>
      <c r="N8" s="45">
        <f t="shared" si="1"/>
        <v>24268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22.5" customHeight="1">
      <c r="A9" s="12">
        <v>45724.0</v>
      </c>
      <c r="B9" s="43">
        <v>1320.0</v>
      </c>
      <c r="C9" s="44">
        <v>1232.0</v>
      </c>
      <c r="D9" s="44">
        <v>11280.0</v>
      </c>
      <c r="E9" s="45">
        <v>560.0</v>
      </c>
      <c r="F9" s="44">
        <v>1740.0</v>
      </c>
      <c r="G9" s="45">
        <v>720.0</v>
      </c>
      <c r="H9" s="44">
        <v>1440.0</v>
      </c>
      <c r="I9" s="44">
        <v>1300.0</v>
      </c>
      <c r="J9" s="44">
        <v>0.0</v>
      </c>
      <c r="K9" s="44">
        <v>2250.0</v>
      </c>
      <c r="L9" s="44">
        <v>1260.0</v>
      </c>
      <c r="M9" s="44">
        <v>1170.0</v>
      </c>
      <c r="N9" s="45">
        <f t="shared" si="1"/>
        <v>24272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22.5" customHeight="1">
      <c r="A10" s="12">
        <v>45725.0</v>
      </c>
      <c r="B10" s="43">
        <v>1920.0</v>
      </c>
      <c r="C10" s="44">
        <v>1100.0</v>
      </c>
      <c r="D10" s="44">
        <v>5880.0</v>
      </c>
      <c r="E10" s="45">
        <v>805.0</v>
      </c>
      <c r="F10" s="44">
        <v>2580.0</v>
      </c>
      <c r="G10" s="45">
        <v>880.0</v>
      </c>
      <c r="H10" s="44">
        <v>2232.0</v>
      </c>
      <c r="I10" s="44">
        <v>1950.0</v>
      </c>
      <c r="J10" s="44">
        <v>1600.0</v>
      </c>
      <c r="K10" s="44">
        <v>1550.0</v>
      </c>
      <c r="L10" s="44">
        <v>1400.0</v>
      </c>
      <c r="M10" s="44">
        <v>1300.0</v>
      </c>
      <c r="N10" s="45">
        <f t="shared" si="1"/>
        <v>23197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22.5" customHeight="1">
      <c r="A11" s="12">
        <v>45726.0</v>
      </c>
      <c r="B11" s="43">
        <v>2160.0</v>
      </c>
      <c r="C11" s="44">
        <v>3690.0</v>
      </c>
      <c r="D11" s="44">
        <v>3240.0</v>
      </c>
      <c r="E11" s="45">
        <v>1155.0</v>
      </c>
      <c r="F11" s="44">
        <v>3600.0</v>
      </c>
      <c r="G11" s="45">
        <v>680.0</v>
      </c>
      <c r="H11" s="44">
        <v>1488.0</v>
      </c>
      <c r="I11" s="44">
        <v>1950.0</v>
      </c>
      <c r="J11" s="44">
        <v>2400.0</v>
      </c>
      <c r="K11" s="44">
        <v>2000.0</v>
      </c>
      <c r="L11" s="44">
        <v>980.0</v>
      </c>
      <c r="M11" s="44">
        <v>910.0</v>
      </c>
      <c r="N11" s="45">
        <f t="shared" si="1"/>
        <v>24253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22.5" customHeight="1">
      <c r="A12" s="12">
        <v>45727.0</v>
      </c>
      <c r="B12" s="43">
        <v>4980.0</v>
      </c>
      <c r="C12" s="44">
        <v>4275.0</v>
      </c>
      <c r="D12" s="44">
        <v>6360.0</v>
      </c>
      <c r="E12" s="45">
        <v>2100.0</v>
      </c>
      <c r="F12" s="44">
        <v>3180.0</v>
      </c>
      <c r="G12" s="45">
        <v>640.0</v>
      </c>
      <c r="H12" s="44">
        <v>868.0</v>
      </c>
      <c r="I12" s="44">
        <v>650.0</v>
      </c>
      <c r="J12" s="44">
        <v>1600.0</v>
      </c>
      <c r="K12" s="44">
        <v>2100.0</v>
      </c>
      <c r="L12" s="44">
        <v>840.0</v>
      </c>
      <c r="M12" s="44">
        <v>780.0</v>
      </c>
      <c r="N12" s="45">
        <f t="shared" si="1"/>
        <v>28373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22.5" customHeight="1">
      <c r="A13" s="12">
        <v>45728.0</v>
      </c>
      <c r="B13" s="43">
        <v>2880.0</v>
      </c>
      <c r="C13" s="44">
        <v>1575.0</v>
      </c>
      <c r="D13" s="44">
        <v>8880.0</v>
      </c>
      <c r="E13" s="45">
        <v>2135.0</v>
      </c>
      <c r="F13" s="44">
        <v>2460.0</v>
      </c>
      <c r="G13" s="45">
        <v>1040.0</v>
      </c>
      <c r="H13" s="44">
        <v>2232.0</v>
      </c>
      <c r="I13" s="44">
        <v>1300.0</v>
      </c>
      <c r="J13" s="44">
        <v>800.0</v>
      </c>
      <c r="K13" s="44">
        <v>1550.0</v>
      </c>
      <c r="L13" s="44">
        <v>1400.0</v>
      </c>
      <c r="M13" s="44">
        <v>1300.0</v>
      </c>
      <c r="N13" s="45">
        <f t="shared" si="1"/>
        <v>27552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22.5" customHeight="1">
      <c r="A14" s="12">
        <v>45729.0</v>
      </c>
      <c r="B14" s="43">
        <v>4140.0</v>
      </c>
      <c r="C14" s="44">
        <v>2700.0</v>
      </c>
      <c r="D14" s="44">
        <v>9840.0</v>
      </c>
      <c r="E14" s="45">
        <v>1295.0</v>
      </c>
      <c r="F14" s="44">
        <v>2700.0</v>
      </c>
      <c r="G14" s="45">
        <v>800.0</v>
      </c>
      <c r="H14" s="44">
        <v>744.0</v>
      </c>
      <c r="I14" s="44">
        <v>2600.0</v>
      </c>
      <c r="J14" s="44">
        <v>1600.0</v>
      </c>
      <c r="K14" s="44">
        <v>1550.0</v>
      </c>
      <c r="L14" s="44">
        <v>1400.0</v>
      </c>
      <c r="M14" s="44">
        <v>1300.0</v>
      </c>
      <c r="N14" s="45">
        <f t="shared" si="1"/>
        <v>30669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22.5" customHeight="1">
      <c r="A15" s="12">
        <v>45730.0</v>
      </c>
      <c r="B15" s="43">
        <v>1980.0</v>
      </c>
      <c r="C15" s="44">
        <v>2160.0</v>
      </c>
      <c r="D15" s="44">
        <v>5760.0</v>
      </c>
      <c r="E15" s="45">
        <v>1575.0</v>
      </c>
      <c r="F15" s="44">
        <v>1860.0</v>
      </c>
      <c r="G15" s="45">
        <v>640.0</v>
      </c>
      <c r="H15" s="44">
        <v>1116.0</v>
      </c>
      <c r="I15" s="44">
        <v>0.0</v>
      </c>
      <c r="J15" s="44">
        <v>800.0</v>
      </c>
      <c r="K15" s="44">
        <v>2000.0</v>
      </c>
      <c r="L15" s="44">
        <v>700.0</v>
      </c>
      <c r="M15" s="44">
        <v>650.0</v>
      </c>
      <c r="N15" s="45">
        <f t="shared" si="1"/>
        <v>19241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ht="22.5" customHeight="1">
      <c r="A16" s="12">
        <v>45731.0</v>
      </c>
      <c r="B16" s="43">
        <v>2940.0</v>
      </c>
      <c r="C16" s="44">
        <v>765.0</v>
      </c>
      <c r="D16" s="44">
        <v>3840.0</v>
      </c>
      <c r="E16" s="45">
        <v>1225.0</v>
      </c>
      <c r="F16" s="44">
        <v>3180.0</v>
      </c>
      <c r="G16" s="45">
        <v>600.0</v>
      </c>
      <c r="H16" s="44">
        <v>744.0</v>
      </c>
      <c r="I16" s="44">
        <v>1350.0</v>
      </c>
      <c r="J16" s="44">
        <v>2400.0</v>
      </c>
      <c r="K16" s="44">
        <v>1500.0</v>
      </c>
      <c r="L16" s="44">
        <v>1120.0</v>
      </c>
      <c r="M16" s="44">
        <v>1040.0</v>
      </c>
      <c r="N16" s="45">
        <f t="shared" si="1"/>
        <v>20704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22.5" customHeight="1">
      <c r="A17" s="12">
        <v>45732.0</v>
      </c>
      <c r="B17" s="43">
        <v>4140.0</v>
      </c>
      <c r="C17" s="44">
        <v>2655.0</v>
      </c>
      <c r="D17" s="44">
        <v>7440.0</v>
      </c>
      <c r="E17" s="45">
        <v>2450.0</v>
      </c>
      <c r="F17" s="44">
        <v>2940.0</v>
      </c>
      <c r="G17" s="45">
        <v>1040.0</v>
      </c>
      <c r="H17" s="44">
        <v>868.0</v>
      </c>
      <c r="I17" s="44">
        <v>4725.0</v>
      </c>
      <c r="J17" s="44">
        <v>0.0</v>
      </c>
      <c r="K17" s="44">
        <v>1400.0</v>
      </c>
      <c r="L17" s="44">
        <v>980.0</v>
      </c>
      <c r="M17" s="44">
        <v>910.0</v>
      </c>
      <c r="N17" s="45">
        <f t="shared" si="1"/>
        <v>29548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ht="22.5" customHeight="1">
      <c r="A18" s="12">
        <v>45733.0</v>
      </c>
      <c r="B18" s="43">
        <v>1500.0</v>
      </c>
      <c r="C18" s="44">
        <v>3060.0</v>
      </c>
      <c r="D18" s="44">
        <v>4200.0</v>
      </c>
      <c r="E18" s="45">
        <v>735.0</v>
      </c>
      <c r="F18" s="44">
        <v>1860.0</v>
      </c>
      <c r="G18" s="45">
        <v>1040.0</v>
      </c>
      <c r="H18" s="44">
        <v>620.0</v>
      </c>
      <c r="I18" s="44">
        <v>3375.0</v>
      </c>
      <c r="J18" s="44">
        <v>1600.0</v>
      </c>
      <c r="K18" s="44">
        <v>600.0</v>
      </c>
      <c r="L18" s="44">
        <v>560.0</v>
      </c>
      <c r="M18" s="44">
        <v>520.0</v>
      </c>
      <c r="N18" s="45">
        <f t="shared" si="1"/>
        <v>19670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ht="22.5" customHeight="1">
      <c r="A19" s="12">
        <v>45734.0</v>
      </c>
      <c r="B19" s="43">
        <v>960.0</v>
      </c>
      <c r="C19" s="44">
        <v>1215.0</v>
      </c>
      <c r="D19" s="44">
        <v>6840.0</v>
      </c>
      <c r="E19" s="45">
        <v>2205.0</v>
      </c>
      <c r="F19" s="44">
        <v>3000.0</v>
      </c>
      <c r="G19" s="45">
        <v>1240.0</v>
      </c>
      <c r="H19" s="44">
        <v>1488.0</v>
      </c>
      <c r="I19" s="44">
        <v>0.0</v>
      </c>
      <c r="J19" s="44">
        <v>3200.0</v>
      </c>
      <c r="K19" s="44">
        <v>1250.0</v>
      </c>
      <c r="L19" s="44">
        <v>1400.0</v>
      </c>
      <c r="M19" s="44">
        <v>1300.0</v>
      </c>
      <c r="N19" s="45">
        <f t="shared" si="1"/>
        <v>24098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ht="22.5" customHeight="1">
      <c r="A20" s="12">
        <v>45735.0</v>
      </c>
      <c r="B20" s="43">
        <v>6060.0</v>
      </c>
      <c r="C20" s="44">
        <v>945.0</v>
      </c>
      <c r="D20" s="44">
        <v>9480.0</v>
      </c>
      <c r="E20" s="45">
        <v>1995.0</v>
      </c>
      <c r="F20" s="44">
        <v>1800.0</v>
      </c>
      <c r="G20" s="45">
        <v>960.0</v>
      </c>
      <c r="H20" s="44">
        <v>2232.0</v>
      </c>
      <c r="I20" s="44">
        <v>3375.0</v>
      </c>
      <c r="J20" s="44">
        <v>1600.0</v>
      </c>
      <c r="K20" s="44">
        <v>700.0</v>
      </c>
      <c r="L20" s="44">
        <v>1120.0</v>
      </c>
      <c r="M20" s="44">
        <v>1040.0</v>
      </c>
      <c r="N20" s="45">
        <f t="shared" si="1"/>
        <v>31307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ht="22.5" customHeight="1">
      <c r="A21" s="12">
        <v>45736.0</v>
      </c>
      <c r="B21" s="43">
        <v>1800.0</v>
      </c>
      <c r="C21" s="44">
        <v>1305.0</v>
      </c>
      <c r="D21" s="44">
        <v>2640.0</v>
      </c>
      <c r="E21" s="45">
        <v>3185.0</v>
      </c>
      <c r="F21" s="44">
        <v>2460.0</v>
      </c>
      <c r="G21" s="45">
        <v>1200.0</v>
      </c>
      <c r="H21" s="44">
        <v>1625.0</v>
      </c>
      <c r="I21" s="44">
        <v>2700.0</v>
      </c>
      <c r="J21" s="44">
        <v>0.0</v>
      </c>
      <c r="K21" s="44">
        <v>950.0</v>
      </c>
      <c r="L21" s="44">
        <v>560.0</v>
      </c>
      <c r="M21" s="44">
        <v>520.0</v>
      </c>
      <c r="N21" s="45">
        <f t="shared" si="1"/>
        <v>18945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ht="22.5" customHeight="1">
      <c r="A22" s="12">
        <v>45737.0</v>
      </c>
      <c r="B22" s="43">
        <v>4320.0</v>
      </c>
      <c r="C22" s="44">
        <v>3240.0</v>
      </c>
      <c r="D22" s="44">
        <v>5160.0</v>
      </c>
      <c r="E22" s="45">
        <v>1995.0</v>
      </c>
      <c r="F22" s="44">
        <v>3000.0</v>
      </c>
      <c r="G22" s="45">
        <v>1160.0</v>
      </c>
      <c r="H22" s="44">
        <v>1250.0</v>
      </c>
      <c r="I22" s="44">
        <v>2025.0</v>
      </c>
      <c r="J22" s="44">
        <v>2400.0</v>
      </c>
      <c r="K22" s="44">
        <v>200.0</v>
      </c>
      <c r="L22" s="44">
        <v>980.0</v>
      </c>
      <c r="M22" s="44">
        <v>910.0</v>
      </c>
      <c r="N22" s="45">
        <f t="shared" si="1"/>
        <v>26640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ht="22.5" customHeight="1">
      <c r="A23" s="12">
        <v>45738.0</v>
      </c>
      <c r="B23" s="43">
        <v>2580.0</v>
      </c>
      <c r="C23" s="44">
        <v>810.0</v>
      </c>
      <c r="D23" s="44">
        <v>9120.0</v>
      </c>
      <c r="E23" s="45">
        <v>2835.0</v>
      </c>
      <c r="F23" s="44">
        <v>2040.0</v>
      </c>
      <c r="G23" s="45">
        <v>1160.0</v>
      </c>
      <c r="H23" s="44">
        <v>625.0</v>
      </c>
      <c r="I23" s="44">
        <v>675.0</v>
      </c>
      <c r="J23" s="44">
        <v>2400.0</v>
      </c>
      <c r="K23" s="44">
        <v>350.0</v>
      </c>
      <c r="L23" s="44">
        <v>420.0</v>
      </c>
      <c r="M23" s="44">
        <v>390.0</v>
      </c>
      <c r="N23" s="45">
        <f t="shared" si="1"/>
        <v>23405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ht="22.5" customHeight="1">
      <c r="A24" s="12">
        <v>45739.0</v>
      </c>
      <c r="B24" s="46">
        <v>3540.0</v>
      </c>
      <c r="C24" s="44">
        <v>2430.0</v>
      </c>
      <c r="D24" s="44">
        <v>9480.0</v>
      </c>
      <c r="E24" s="45">
        <v>2800.0</v>
      </c>
      <c r="F24" s="44">
        <v>2760.0</v>
      </c>
      <c r="G24" s="45">
        <v>1040.0</v>
      </c>
      <c r="H24" s="44">
        <v>2000.0</v>
      </c>
      <c r="I24" s="44">
        <v>675.0</v>
      </c>
      <c r="J24" s="44">
        <v>4000.0</v>
      </c>
      <c r="K24" s="44">
        <v>650.0</v>
      </c>
      <c r="L24" s="44">
        <v>1680.0</v>
      </c>
      <c r="M24" s="44">
        <v>1560.0</v>
      </c>
      <c r="N24" s="45">
        <f t="shared" si="1"/>
        <v>32615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ht="22.5" customHeight="1">
      <c r="A25" s="12">
        <v>45740.0</v>
      </c>
      <c r="B25" s="43">
        <v>3120.0</v>
      </c>
      <c r="C25" s="44">
        <v>2565.0</v>
      </c>
      <c r="D25" s="44">
        <v>6125.0</v>
      </c>
      <c r="E25" s="45">
        <v>1225.0</v>
      </c>
      <c r="F25" s="44">
        <v>2580.0</v>
      </c>
      <c r="G25" s="45">
        <v>680.0</v>
      </c>
      <c r="H25" s="44">
        <v>625.0</v>
      </c>
      <c r="I25" s="44">
        <v>1350.0</v>
      </c>
      <c r="J25" s="44">
        <v>800.0</v>
      </c>
      <c r="K25" s="44">
        <v>300.0</v>
      </c>
      <c r="L25" s="44">
        <v>1120.0</v>
      </c>
      <c r="M25" s="44">
        <v>1040.0</v>
      </c>
      <c r="N25" s="45">
        <f t="shared" si="1"/>
        <v>21530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ht="22.5" customHeight="1">
      <c r="A26" s="12">
        <v>45741.0</v>
      </c>
      <c r="B26" s="43">
        <v>4500.0</v>
      </c>
      <c r="C26" s="44">
        <v>2655.0</v>
      </c>
      <c r="D26" s="44">
        <v>3750.0</v>
      </c>
      <c r="E26" s="45">
        <v>1715.0</v>
      </c>
      <c r="F26" s="44">
        <v>2700.0</v>
      </c>
      <c r="G26" s="45">
        <v>760.0</v>
      </c>
      <c r="H26" s="44">
        <v>625.0</v>
      </c>
      <c r="I26" s="44">
        <v>675.0</v>
      </c>
      <c r="J26" s="44">
        <v>800.0</v>
      </c>
      <c r="K26" s="44">
        <v>700.0</v>
      </c>
      <c r="L26" s="44">
        <v>1540.0</v>
      </c>
      <c r="M26" s="44">
        <v>1430.0</v>
      </c>
      <c r="N26" s="45">
        <f t="shared" si="1"/>
        <v>21850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ht="22.5" customHeight="1">
      <c r="A27" s="12">
        <v>45742.0</v>
      </c>
      <c r="B27" s="43">
        <v>4560.0</v>
      </c>
      <c r="C27" s="44">
        <v>2520.0</v>
      </c>
      <c r="D27" s="44">
        <v>4500.0</v>
      </c>
      <c r="E27" s="45">
        <v>2448.0</v>
      </c>
      <c r="F27" s="44">
        <v>2640.0</v>
      </c>
      <c r="G27" s="45">
        <v>840.0</v>
      </c>
      <c r="H27" s="44">
        <v>875.0</v>
      </c>
      <c r="I27" s="44">
        <v>0.0</v>
      </c>
      <c r="J27" s="44">
        <v>800.0</v>
      </c>
      <c r="K27" s="44">
        <v>750.0</v>
      </c>
      <c r="L27" s="44">
        <v>420.0</v>
      </c>
      <c r="M27" s="44">
        <v>390.0</v>
      </c>
      <c r="N27" s="45">
        <f t="shared" si="1"/>
        <v>20743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ht="22.5" customHeight="1">
      <c r="A28" s="12">
        <v>45743.0</v>
      </c>
      <c r="B28" s="43">
        <v>2040.0</v>
      </c>
      <c r="C28" s="44">
        <v>2745.0</v>
      </c>
      <c r="D28" s="44">
        <v>2875.0</v>
      </c>
      <c r="E28" s="45">
        <v>2484.0</v>
      </c>
      <c r="F28" s="44">
        <v>1920.0</v>
      </c>
      <c r="G28" s="45">
        <v>920.0</v>
      </c>
      <c r="H28" s="44">
        <v>1107.0</v>
      </c>
      <c r="I28" s="44">
        <v>2025.0</v>
      </c>
      <c r="J28" s="44">
        <v>0.0</v>
      </c>
      <c r="K28" s="44">
        <v>500.0</v>
      </c>
      <c r="L28" s="44">
        <v>1680.0</v>
      </c>
      <c r="M28" s="44">
        <v>1560.0</v>
      </c>
      <c r="N28" s="45">
        <f t="shared" si="1"/>
        <v>19856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ht="22.5" customHeight="1">
      <c r="A29" s="12">
        <v>45744.0</v>
      </c>
      <c r="B29" s="43">
        <v>3180.0</v>
      </c>
      <c r="C29" s="44">
        <v>855.0</v>
      </c>
      <c r="D29" s="44">
        <v>8875.0</v>
      </c>
      <c r="E29" s="45">
        <v>468.0</v>
      </c>
      <c r="F29" s="44">
        <v>3000.0</v>
      </c>
      <c r="G29" s="45">
        <v>840.0</v>
      </c>
      <c r="H29" s="44">
        <v>1230.0</v>
      </c>
      <c r="I29" s="44">
        <v>1350.0</v>
      </c>
      <c r="J29" s="44">
        <v>1600.0</v>
      </c>
      <c r="K29" s="44">
        <v>250.0</v>
      </c>
      <c r="L29" s="44">
        <v>700.0</v>
      </c>
      <c r="M29" s="44">
        <v>650.0</v>
      </c>
      <c r="N29" s="45">
        <f t="shared" si="1"/>
        <v>22998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ht="22.5" customHeight="1">
      <c r="A30" s="12">
        <v>45745.0</v>
      </c>
      <c r="B30" s="43">
        <v>1260.0</v>
      </c>
      <c r="C30" s="44">
        <v>2745.0</v>
      </c>
      <c r="D30" s="44">
        <v>2500.0</v>
      </c>
      <c r="E30" s="45">
        <v>1908.0</v>
      </c>
      <c r="F30" s="44">
        <v>2160.0</v>
      </c>
      <c r="G30" s="45">
        <v>1280.0</v>
      </c>
      <c r="H30" s="44">
        <v>738.0</v>
      </c>
      <c r="I30" s="44">
        <v>2025.0</v>
      </c>
      <c r="J30" s="44">
        <v>2400.0</v>
      </c>
      <c r="K30" s="44">
        <v>250.0</v>
      </c>
      <c r="L30" s="44">
        <v>1260.0</v>
      </c>
      <c r="M30" s="44">
        <v>1170.0</v>
      </c>
      <c r="N30" s="45">
        <f t="shared" si="1"/>
        <v>19696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ht="22.5" customHeight="1">
      <c r="A31" s="12">
        <v>45746.0</v>
      </c>
      <c r="B31" s="43">
        <v>1620.0</v>
      </c>
      <c r="C31" s="44">
        <v>2970.0</v>
      </c>
      <c r="D31" s="44">
        <v>6125.0</v>
      </c>
      <c r="E31" s="45">
        <v>648.0</v>
      </c>
      <c r="F31" s="44">
        <v>2400.0</v>
      </c>
      <c r="G31" s="45">
        <v>720.0</v>
      </c>
      <c r="H31" s="44">
        <v>1845.0</v>
      </c>
      <c r="I31" s="44">
        <v>2700.0</v>
      </c>
      <c r="J31" s="44">
        <v>800.0</v>
      </c>
      <c r="K31" s="44">
        <v>900.0</v>
      </c>
      <c r="L31" s="44">
        <v>840.0</v>
      </c>
      <c r="M31" s="44">
        <v>780.0</v>
      </c>
      <c r="N31" s="45">
        <f t="shared" si="1"/>
        <v>22348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ht="22.5" customHeight="1">
      <c r="A32" s="12">
        <v>45747.0</v>
      </c>
      <c r="B32" s="43">
        <v>2220.0</v>
      </c>
      <c r="C32" s="44">
        <v>2070.0</v>
      </c>
      <c r="D32" s="44">
        <v>4000.0</v>
      </c>
      <c r="E32" s="45">
        <v>2628.0</v>
      </c>
      <c r="F32" s="44">
        <v>2280.0</v>
      </c>
      <c r="G32" s="45">
        <v>1120.0</v>
      </c>
      <c r="H32" s="44">
        <v>1353.0</v>
      </c>
      <c r="I32" s="44">
        <v>1350.0</v>
      </c>
      <c r="J32" s="44">
        <v>800.0</v>
      </c>
      <c r="K32" s="44">
        <v>1900.0</v>
      </c>
      <c r="L32" s="44">
        <v>1540.0</v>
      </c>
      <c r="M32" s="44">
        <v>1430.0</v>
      </c>
      <c r="N32" s="45">
        <f t="shared" si="1"/>
        <v>22691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ht="22.5" customHeight="1">
      <c r="A33" s="12">
        <v>45748.0</v>
      </c>
      <c r="B33" s="46">
        <v>960.0</v>
      </c>
      <c r="C33" s="44">
        <v>1035.0</v>
      </c>
      <c r="D33" s="44">
        <v>6750.0</v>
      </c>
      <c r="E33" s="45">
        <v>2412.0</v>
      </c>
      <c r="F33" s="44">
        <v>2820.0</v>
      </c>
      <c r="G33" s="45">
        <v>1280.0</v>
      </c>
      <c r="H33" s="44">
        <v>1476.0</v>
      </c>
      <c r="I33" s="44">
        <v>4050.0</v>
      </c>
      <c r="J33" s="44">
        <v>3200.0</v>
      </c>
      <c r="K33" s="44">
        <v>450.0</v>
      </c>
      <c r="L33" s="44">
        <v>700.0</v>
      </c>
      <c r="M33" s="44">
        <v>650.0</v>
      </c>
      <c r="N33" s="45">
        <f t="shared" si="1"/>
        <v>25783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ht="22.5" customHeight="1">
      <c r="A34" s="12">
        <v>45749.0</v>
      </c>
      <c r="B34" s="46">
        <v>3660.0</v>
      </c>
      <c r="C34" s="44">
        <v>1276.0</v>
      </c>
      <c r="D34" s="44">
        <v>6500.0</v>
      </c>
      <c r="E34" s="45">
        <v>1116.0</v>
      </c>
      <c r="F34" s="44">
        <v>1980.0</v>
      </c>
      <c r="G34" s="45">
        <v>920.0</v>
      </c>
      <c r="H34" s="44">
        <v>738.0</v>
      </c>
      <c r="I34" s="44">
        <v>2700.0</v>
      </c>
      <c r="J34" s="44">
        <v>4800.0</v>
      </c>
      <c r="K34" s="44">
        <v>350.0</v>
      </c>
      <c r="L34" s="44">
        <v>980.0</v>
      </c>
      <c r="M34" s="44">
        <v>910.0</v>
      </c>
      <c r="N34" s="45">
        <f t="shared" si="1"/>
        <v>25930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22.5" customHeight="1">
      <c r="A35" s="12">
        <v>45750.0</v>
      </c>
      <c r="B35" s="46">
        <v>3720.0</v>
      </c>
      <c r="C35" s="44">
        <v>1056.0</v>
      </c>
      <c r="D35" s="44">
        <v>7500.0</v>
      </c>
      <c r="E35" s="45">
        <v>4212.0</v>
      </c>
      <c r="F35" s="44">
        <v>1740.0</v>
      </c>
      <c r="G35" s="45">
        <v>640.0</v>
      </c>
      <c r="H35" s="44">
        <v>861.0</v>
      </c>
      <c r="I35" s="44">
        <v>4830.0</v>
      </c>
      <c r="J35" s="44">
        <v>5600.0</v>
      </c>
      <c r="K35" s="44">
        <v>600.0</v>
      </c>
      <c r="L35" s="44">
        <v>700.0</v>
      </c>
      <c r="M35" s="44">
        <v>650.0</v>
      </c>
      <c r="N35" s="45">
        <f t="shared" si="1"/>
        <v>32109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ht="22.5" customHeight="1">
      <c r="A36" s="12">
        <v>45751.0</v>
      </c>
      <c r="B36" s="46">
        <v>2760.0</v>
      </c>
      <c r="C36" s="44">
        <v>3256.0</v>
      </c>
      <c r="D36" s="44">
        <v>5750.0</v>
      </c>
      <c r="E36" s="45">
        <v>3528.0</v>
      </c>
      <c r="F36" s="44">
        <v>2580.0</v>
      </c>
      <c r="G36" s="45">
        <v>1160.0</v>
      </c>
      <c r="H36" s="44">
        <v>2214.0</v>
      </c>
      <c r="I36" s="44">
        <v>1380.0</v>
      </c>
      <c r="J36" s="44">
        <v>1600.0</v>
      </c>
      <c r="K36" s="44">
        <v>650.0</v>
      </c>
      <c r="L36" s="44">
        <v>1260.0</v>
      </c>
      <c r="M36" s="44">
        <v>1170.0</v>
      </c>
      <c r="N36" s="45">
        <f t="shared" si="1"/>
        <v>27308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ht="22.5" customHeight="1">
      <c r="A37" s="12">
        <v>45752.0</v>
      </c>
      <c r="B37" s="46">
        <v>2100.0</v>
      </c>
      <c r="C37" s="44">
        <v>2376.0</v>
      </c>
      <c r="D37" s="44">
        <v>4250.0</v>
      </c>
      <c r="E37" s="45">
        <v>2088.0</v>
      </c>
      <c r="F37" s="44">
        <v>3120.0</v>
      </c>
      <c r="G37" s="45">
        <v>840.0</v>
      </c>
      <c r="H37" s="44">
        <v>984.0</v>
      </c>
      <c r="I37" s="44">
        <v>4140.0</v>
      </c>
      <c r="J37" s="44">
        <v>6400.0</v>
      </c>
      <c r="K37" s="44">
        <v>500.0</v>
      </c>
      <c r="L37" s="44">
        <v>980.0</v>
      </c>
      <c r="M37" s="44">
        <v>910.0</v>
      </c>
      <c r="N37" s="45">
        <f t="shared" si="1"/>
        <v>28688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ht="22.5" customHeight="1">
      <c r="A38" s="12">
        <v>45753.0</v>
      </c>
      <c r="B38" s="46">
        <v>4680.0</v>
      </c>
      <c r="C38" s="44">
        <v>1232.0</v>
      </c>
      <c r="D38" s="44">
        <v>9840.0</v>
      </c>
      <c r="E38" s="45">
        <v>3600.0</v>
      </c>
      <c r="F38" s="44">
        <v>3000.0</v>
      </c>
      <c r="G38" s="45">
        <v>1040.0</v>
      </c>
      <c r="H38" s="44">
        <v>738.0</v>
      </c>
      <c r="I38" s="44">
        <v>2070.0</v>
      </c>
      <c r="J38" s="44">
        <v>2400.0</v>
      </c>
      <c r="K38" s="44">
        <v>800.0</v>
      </c>
      <c r="L38" s="44">
        <v>1540.0</v>
      </c>
      <c r="M38" s="44">
        <v>1430.0</v>
      </c>
      <c r="N38" s="45">
        <f t="shared" si="1"/>
        <v>32370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ht="22.5" customHeight="1">
      <c r="A39" s="12">
        <v>45754.0</v>
      </c>
      <c r="B39" s="46">
        <v>3600.0</v>
      </c>
      <c r="C39" s="44">
        <v>1012.0</v>
      </c>
      <c r="D39" s="44">
        <v>2640.0</v>
      </c>
      <c r="E39" s="45">
        <v>2448.0</v>
      </c>
      <c r="F39" s="44">
        <v>1860.0</v>
      </c>
      <c r="G39" s="45">
        <v>880.0</v>
      </c>
      <c r="H39" s="44">
        <v>984.0</v>
      </c>
      <c r="I39" s="44">
        <v>1380.0</v>
      </c>
      <c r="J39" s="44">
        <v>2800.0</v>
      </c>
      <c r="K39" s="44">
        <v>550.0</v>
      </c>
      <c r="L39" s="44">
        <v>1260.0</v>
      </c>
      <c r="M39" s="44">
        <v>1170.0</v>
      </c>
      <c r="N39" s="45">
        <f t="shared" si="1"/>
        <v>20584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ht="22.5" customHeight="1">
      <c r="A40" s="12">
        <v>45755.0</v>
      </c>
      <c r="B40" s="46">
        <v>2520.0</v>
      </c>
      <c r="C40" s="44">
        <v>792.0</v>
      </c>
      <c r="D40" s="44">
        <v>4920.0</v>
      </c>
      <c r="E40" s="45">
        <v>1836.0</v>
      </c>
      <c r="F40" s="44">
        <v>2940.0</v>
      </c>
      <c r="G40" s="45">
        <v>1160.0</v>
      </c>
      <c r="H40" s="44">
        <v>1560.0</v>
      </c>
      <c r="I40" s="44">
        <v>2760.0</v>
      </c>
      <c r="J40" s="44">
        <v>3200.0</v>
      </c>
      <c r="K40" s="44">
        <v>850.0</v>
      </c>
      <c r="L40" s="44">
        <v>560.0</v>
      </c>
      <c r="M40" s="44">
        <v>520.0</v>
      </c>
      <c r="N40" s="45">
        <f t="shared" si="1"/>
        <v>23618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ht="22.5" customHeight="1">
      <c r="A41" s="12">
        <v>45756.0</v>
      </c>
      <c r="B41" s="46">
        <v>4020.0</v>
      </c>
      <c r="C41" s="44">
        <v>1540.0</v>
      </c>
      <c r="D41" s="44">
        <v>7200.0</v>
      </c>
      <c r="E41" s="45">
        <v>1332.0</v>
      </c>
      <c r="F41" s="44">
        <v>3420.0</v>
      </c>
      <c r="G41" s="45">
        <v>680.0</v>
      </c>
      <c r="H41" s="44">
        <v>1680.0</v>
      </c>
      <c r="I41" s="44">
        <v>3450.0</v>
      </c>
      <c r="J41" s="44">
        <v>1600.0</v>
      </c>
      <c r="K41" s="44">
        <v>550.0</v>
      </c>
      <c r="L41" s="44">
        <v>840.0</v>
      </c>
      <c r="M41" s="44">
        <v>780.0</v>
      </c>
      <c r="N41" s="45">
        <f t="shared" si="1"/>
        <v>27092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ht="22.5" customHeight="1">
      <c r="A42" s="12">
        <v>45757.0</v>
      </c>
      <c r="B42" s="46">
        <v>4140.0</v>
      </c>
      <c r="C42" s="44">
        <v>2376.0</v>
      </c>
      <c r="D42" s="44">
        <v>2400.0</v>
      </c>
      <c r="E42" s="45">
        <v>2760.0</v>
      </c>
      <c r="F42" s="44">
        <v>2760.0</v>
      </c>
      <c r="G42" s="45">
        <v>1120.0</v>
      </c>
      <c r="H42" s="44">
        <v>1320.0</v>
      </c>
      <c r="I42" s="44">
        <v>1380.0</v>
      </c>
      <c r="J42" s="44">
        <v>3200.0</v>
      </c>
      <c r="K42" s="44">
        <v>850.0</v>
      </c>
      <c r="L42" s="44">
        <v>1540.0</v>
      </c>
      <c r="M42" s="44">
        <v>1430.0</v>
      </c>
      <c r="N42" s="45">
        <f t="shared" si="1"/>
        <v>25276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ht="22.5" customHeight="1">
      <c r="A43" s="12">
        <v>45758.0</v>
      </c>
      <c r="B43" s="46">
        <v>1800.0</v>
      </c>
      <c r="C43" s="44">
        <v>1012.0</v>
      </c>
      <c r="D43" s="44">
        <v>4920.0</v>
      </c>
      <c r="E43" s="45">
        <v>3560.0</v>
      </c>
      <c r="F43" s="44">
        <v>2220.0</v>
      </c>
      <c r="G43" s="45">
        <v>1240.0</v>
      </c>
      <c r="H43" s="44">
        <v>840.0</v>
      </c>
      <c r="I43" s="44">
        <v>0.0</v>
      </c>
      <c r="J43" s="44">
        <v>4800.0</v>
      </c>
      <c r="K43" s="44">
        <v>750.0</v>
      </c>
      <c r="L43" s="44">
        <v>560.0</v>
      </c>
      <c r="M43" s="44">
        <v>520.0</v>
      </c>
      <c r="N43" s="45">
        <f t="shared" si="1"/>
        <v>22222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ht="22.5" customHeight="1">
      <c r="A44" s="12">
        <v>45759.0</v>
      </c>
      <c r="B44" s="46">
        <v>2700.0</v>
      </c>
      <c r="C44" s="44">
        <v>2816.0</v>
      </c>
      <c r="D44" s="44">
        <v>2520.0</v>
      </c>
      <c r="E44" s="45">
        <v>960.0</v>
      </c>
      <c r="F44" s="44">
        <v>3480.0</v>
      </c>
      <c r="G44" s="45">
        <v>720.0</v>
      </c>
      <c r="H44" s="44">
        <v>1320.0</v>
      </c>
      <c r="I44" s="44">
        <v>2070.0</v>
      </c>
      <c r="J44" s="44">
        <v>4800.0</v>
      </c>
      <c r="K44" s="44">
        <v>500.0</v>
      </c>
      <c r="L44" s="44">
        <v>1680.0</v>
      </c>
      <c r="M44" s="44">
        <v>1560.0</v>
      </c>
      <c r="N44" s="45">
        <f t="shared" si="1"/>
        <v>25126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22.5" customHeight="1">
      <c r="A45" s="12">
        <v>45760.0</v>
      </c>
      <c r="B45" s="46">
        <v>1080.0</v>
      </c>
      <c r="C45" s="44">
        <v>2288.0</v>
      </c>
      <c r="D45" s="44">
        <v>4560.0</v>
      </c>
      <c r="E45" s="45">
        <v>2840.0</v>
      </c>
      <c r="F45" s="44">
        <v>2580.0</v>
      </c>
      <c r="G45" s="45">
        <v>1280.0</v>
      </c>
      <c r="H45" s="44">
        <v>1680.0</v>
      </c>
      <c r="I45" s="44">
        <v>1380.0</v>
      </c>
      <c r="J45" s="44">
        <v>6800.0</v>
      </c>
      <c r="K45" s="44">
        <v>750.0</v>
      </c>
      <c r="L45" s="44">
        <v>1540.0</v>
      </c>
      <c r="M45" s="44">
        <v>1430.0</v>
      </c>
      <c r="N45" s="45">
        <f t="shared" si="1"/>
        <v>28208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ht="22.5" customHeight="1">
      <c r="A46" s="12">
        <v>45761.0</v>
      </c>
      <c r="B46" s="43">
        <v>1320.0</v>
      </c>
      <c r="C46" s="44">
        <v>1540.0</v>
      </c>
      <c r="D46" s="44">
        <v>3480.0</v>
      </c>
      <c r="E46" s="45">
        <v>2840.0</v>
      </c>
      <c r="F46" s="44">
        <v>2760.0</v>
      </c>
      <c r="G46" s="45">
        <v>880.0</v>
      </c>
      <c r="H46" s="44">
        <v>840.0</v>
      </c>
      <c r="I46" s="44">
        <v>2070.0</v>
      </c>
      <c r="J46" s="44">
        <v>4000.0</v>
      </c>
      <c r="K46" s="44">
        <v>800.0</v>
      </c>
      <c r="L46" s="44">
        <v>1680.0</v>
      </c>
      <c r="M46" s="44">
        <v>1560.0</v>
      </c>
      <c r="N46" s="45">
        <f t="shared" si="1"/>
        <v>23770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ht="22.5" customHeight="1">
      <c r="A47" s="12">
        <v>45762.0</v>
      </c>
      <c r="B47" s="43">
        <v>3480.0</v>
      </c>
      <c r="C47" s="44">
        <v>4004.0</v>
      </c>
      <c r="D47" s="44">
        <v>6240.0</v>
      </c>
      <c r="E47" s="45">
        <v>2240.0</v>
      </c>
      <c r="F47" s="44">
        <v>3600.0</v>
      </c>
      <c r="G47" s="45">
        <v>720.0</v>
      </c>
      <c r="H47" s="44">
        <v>600.0</v>
      </c>
      <c r="I47" s="44">
        <v>4830.0</v>
      </c>
      <c r="J47" s="44">
        <v>1600.0</v>
      </c>
      <c r="K47" s="44">
        <v>600.0</v>
      </c>
      <c r="L47" s="44">
        <v>980.0</v>
      </c>
      <c r="M47" s="44">
        <v>910.0</v>
      </c>
      <c r="N47" s="45">
        <f t="shared" si="1"/>
        <v>29804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ht="22.5" customHeight="1">
      <c r="A48" s="12">
        <v>45763.0</v>
      </c>
      <c r="B48" s="43">
        <v>2940.0</v>
      </c>
      <c r="C48" s="44">
        <v>3124.0</v>
      </c>
      <c r="D48" s="44">
        <v>3480.0</v>
      </c>
      <c r="E48" s="45">
        <v>2840.0</v>
      </c>
      <c r="F48" s="44">
        <v>1980.0</v>
      </c>
      <c r="G48" s="45">
        <v>640.0</v>
      </c>
      <c r="H48" s="44">
        <v>1080.0</v>
      </c>
      <c r="I48" s="44">
        <v>5520.0</v>
      </c>
      <c r="J48" s="44">
        <v>2400.0</v>
      </c>
      <c r="K48" s="44">
        <v>750.0</v>
      </c>
      <c r="L48" s="44">
        <v>560.0</v>
      </c>
      <c r="M48" s="44">
        <v>520.0</v>
      </c>
      <c r="N48" s="45">
        <f t="shared" si="1"/>
        <v>25834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ht="22.5" customHeight="1">
      <c r="A49" s="12">
        <v>45764.0</v>
      </c>
      <c r="B49" s="43">
        <v>1740.0</v>
      </c>
      <c r="C49" s="44">
        <v>1408.0</v>
      </c>
      <c r="D49" s="44">
        <v>8520.0</v>
      </c>
      <c r="E49" s="45">
        <v>2400.0</v>
      </c>
      <c r="F49" s="44">
        <v>1860.0</v>
      </c>
      <c r="G49" s="45">
        <v>800.0</v>
      </c>
      <c r="H49" s="44">
        <v>1440.0</v>
      </c>
      <c r="I49" s="44">
        <v>2760.0</v>
      </c>
      <c r="J49" s="44">
        <v>3200.0</v>
      </c>
      <c r="K49" s="44">
        <v>1150.0</v>
      </c>
      <c r="L49" s="44">
        <v>840.0</v>
      </c>
      <c r="M49" s="44">
        <v>780.0</v>
      </c>
      <c r="N49" s="45">
        <f t="shared" si="1"/>
        <v>26898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ht="22.5" customHeight="1">
      <c r="A50" s="12">
        <v>45765.0</v>
      </c>
      <c r="B50" s="43">
        <v>1860.0</v>
      </c>
      <c r="C50" s="44">
        <v>2596.0</v>
      </c>
      <c r="D50" s="44">
        <v>5400.0</v>
      </c>
      <c r="E50" s="45">
        <v>2200.0</v>
      </c>
      <c r="F50" s="44">
        <v>2100.0</v>
      </c>
      <c r="G50" s="45">
        <v>960.0</v>
      </c>
      <c r="H50" s="44">
        <v>2160.0</v>
      </c>
      <c r="I50" s="44">
        <v>5175.0</v>
      </c>
      <c r="J50" s="44">
        <v>800.0</v>
      </c>
      <c r="K50" s="44">
        <v>850.0</v>
      </c>
      <c r="L50" s="44">
        <v>1260.0</v>
      </c>
      <c r="M50" s="44">
        <v>1170.0</v>
      </c>
      <c r="N50" s="45">
        <f t="shared" si="1"/>
        <v>26531</v>
      </c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ht="22.5" customHeight="1">
      <c r="A51" s="12">
        <v>45766.0</v>
      </c>
      <c r="B51" s="43">
        <v>1620.0</v>
      </c>
      <c r="C51" s="44">
        <v>2596.0</v>
      </c>
      <c r="D51" s="44">
        <v>4920.0</v>
      </c>
      <c r="E51" s="45">
        <v>2560.0</v>
      </c>
      <c r="F51" s="44">
        <v>1980.0</v>
      </c>
      <c r="G51" s="45">
        <v>720.0</v>
      </c>
      <c r="H51" s="44">
        <v>840.0</v>
      </c>
      <c r="I51" s="44">
        <v>2070.0</v>
      </c>
      <c r="J51" s="44">
        <v>1600.0</v>
      </c>
      <c r="K51" s="44">
        <v>900.0</v>
      </c>
      <c r="L51" s="44">
        <v>1400.0</v>
      </c>
      <c r="M51" s="44">
        <v>1300.0</v>
      </c>
      <c r="N51" s="45">
        <f t="shared" si="1"/>
        <v>22506</v>
      </c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ht="22.5" customHeight="1">
      <c r="A52" s="12">
        <v>45767.0</v>
      </c>
      <c r="B52" s="43">
        <v>3720.0</v>
      </c>
      <c r="C52" s="44">
        <v>1804.0</v>
      </c>
      <c r="D52" s="44">
        <v>2280.0</v>
      </c>
      <c r="E52" s="45">
        <v>2920.0</v>
      </c>
      <c r="F52" s="44">
        <v>2280.0</v>
      </c>
      <c r="G52" s="45">
        <v>1280.0</v>
      </c>
      <c r="H52" s="44">
        <v>720.0</v>
      </c>
      <c r="I52" s="44">
        <v>3450.0</v>
      </c>
      <c r="J52" s="44">
        <v>2400.0</v>
      </c>
      <c r="K52" s="44">
        <v>950.0</v>
      </c>
      <c r="L52" s="44">
        <v>700.0</v>
      </c>
      <c r="M52" s="44">
        <v>650.0</v>
      </c>
      <c r="N52" s="45">
        <f t="shared" si="1"/>
        <v>23154</v>
      </c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ht="22.5" customHeight="1">
      <c r="A53" s="12">
        <v>45768.0</v>
      </c>
      <c r="B53" s="43">
        <v>2760.0</v>
      </c>
      <c r="C53" s="44">
        <v>2112.0</v>
      </c>
      <c r="D53" s="44">
        <v>3000.0</v>
      </c>
      <c r="E53" s="45">
        <v>480.0</v>
      </c>
      <c r="F53" s="44">
        <v>2820.0</v>
      </c>
      <c r="G53" s="45">
        <v>1040.0</v>
      </c>
      <c r="H53" s="44">
        <v>1560.0</v>
      </c>
      <c r="I53" s="44">
        <v>1380.0</v>
      </c>
      <c r="J53" s="44">
        <v>3200.0</v>
      </c>
      <c r="K53" s="44">
        <v>1250.0</v>
      </c>
      <c r="L53" s="44">
        <v>420.0</v>
      </c>
      <c r="M53" s="44">
        <v>390.0</v>
      </c>
      <c r="N53" s="45">
        <f t="shared" si="1"/>
        <v>20412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ht="22.5" customHeight="1">
      <c r="A54" s="12">
        <v>45769.0</v>
      </c>
      <c r="B54" s="43">
        <v>1380.0</v>
      </c>
      <c r="C54" s="44">
        <v>4092.0</v>
      </c>
      <c r="D54" s="44">
        <v>4200.0</v>
      </c>
      <c r="E54" s="45">
        <v>2400.0</v>
      </c>
      <c r="F54" s="44">
        <v>3300.0</v>
      </c>
      <c r="G54" s="45">
        <v>640.0</v>
      </c>
      <c r="H54" s="44">
        <v>1080.0</v>
      </c>
      <c r="I54" s="44">
        <v>3450.0</v>
      </c>
      <c r="J54" s="44">
        <v>4800.0</v>
      </c>
      <c r="K54" s="44">
        <v>1250.0</v>
      </c>
      <c r="L54" s="44">
        <v>840.0</v>
      </c>
      <c r="M54" s="44">
        <v>780.0</v>
      </c>
      <c r="N54" s="45">
        <f t="shared" si="1"/>
        <v>28212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ht="22.5" customHeight="1">
      <c r="A55" s="12">
        <v>45770.0</v>
      </c>
      <c r="B55" s="43">
        <v>2100.0</v>
      </c>
      <c r="C55" s="44">
        <v>1056.0</v>
      </c>
      <c r="D55" s="44">
        <v>5160.0</v>
      </c>
      <c r="E55" s="45">
        <v>2400.0</v>
      </c>
      <c r="F55" s="44">
        <v>2460.0</v>
      </c>
      <c r="G55" s="45">
        <v>960.0</v>
      </c>
      <c r="H55" s="44">
        <v>1320.0</v>
      </c>
      <c r="I55" s="44">
        <v>2070.0</v>
      </c>
      <c r="J55" s="44">
        <v>4800.0</v>
      </c>
      <c r="K55" s="44">
        <v>750.0</v>
      </c>
      <c r="L55" s="44">
        <v>560.0</v>
      </c>
      <c r="M55" s="44">
        <v>520.0</v>
      </c>
      <c r="N55" s="45">
        <f t="shared" si="1"/>
        <v>24156</v>
      </c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ht="22.5" customHeight="1">
      <c r="A56" s="12">
        <v>45771.0</v>
      </c>
      <c r="B56" s="43">
        <v>3060.0</v>
      </c>
      <c r="C56" s="44">
        <v>1188.0</v>
      </c>
      <c r="D56" s="44">
        <v>4320.0</v>
      </c>
      <c r="E56" s="45">
        <v>640.0</v>
      </c>
      <c r="F56" s="44">
        <v>2340.0</v>
      </c>
      <c r="G56" s="45">
        <v>720.0</v>
      </c>
      <c r="H56" s="44">
        <v>600.0</v>
      </c>
      <c r="I56" s="44">
        <v>690.0</v>
      </c>
      <c r="J56" s="44">
        <v>4000.0</v>
      </c>
      <c r="K56" s="44">
        <v>1000.0</v>
      </c>
      <c r="L56" s="44">
        <v>1400.0</v>
      </c>
      <c r="M56" s="44">
        <v>1300.0</v>
      </c>
      <c r="N56" s="45">
        <f t="shared" si="1"/>
        <v>21258</v>
      </c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ht="22.5" customHeight="1">
      <c r="A57" s="12">
        <v>45772.0</v>
      </c>
      <c r="B57" s="43">
        <v>2340.0</v>
      </c>
      <c r="C57" s="44">
        <v>1364.0</v>
      </c>
      <c r="D57" s="44">
        <v>3480.0</v>
      </c>
      <c r="E57" s="45">
        <v>1200.0</v>
      </c>
      <c r="F57" s="44">
        <v>2700.0</v>
      </c>
      <c r="G57" s="45">
        <v>1120.0</v>
      </c>
      <c r="H57" s="44">
        <v>600.0</v>
      </c>
      <c r="I57" s="44">
        <v>2760.0</v>
      </c>
      <c r="J57" s="44">
        <v>1600.0</v>
      </c>
      <c r="K57" s="44">
        <v>700.0</v>
      </c>
      <c r="L57" s="44">
        <v>840.0</v>
      </c>
      <c r="M57" s="44">
        <v>780.0</v>
      </c>
      <c r="N57" s="45">
        <f t="shared" si="1"/>
        <v>19484</v>
      </c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ht="22.5" customHeight="1">
      <c r="A58" s="12">
        <v>45773.0</v>
      </c>
      <c r="B58" s="43">
        <v>2340.0</v>
      </c>
      <c r="C58" s="44">
        <v>1716.0</v>
      </c>
      <c r="D58" s="44">
        <v>10320.0</v>
      </c>
      <c r="E58" s="45">
        <v>3280.0</v>
      </c>
      <c r="F58" s="44">
        <v>2580.0</v>
      </c>
      <c r="G58" s="45">
        <v>1200.0</v>
      </c>
      <c r="H58" s="44">
        <v>1080.0</v>
      </c>
      <c r="I58" s="44">
        <v>4140.0</v>
      </c>
      <c r="J58" s="44">
        <v>2400.0</v>
      </c>
      <c r="K58" s="44">
        <v>900.0</v>
      </c>
      <c r="L58" s="44">
        <v>560.0</v>
      </c>
      <c r="M58" s="44">
        <v>520.0</v>
      </c>
      <c r="N58" s="45">
        <f t="shared" si="1"/>
        <v>31036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ht="22.5" customHeight="1">
      <c r="A59" s="12">
        <v>45774.0</v>
      </c>
      <c r="B59" s="43">
        <v>2400.0</v>
      </c>
      <c r="C59" s="44">
        <v>1496.0</v>
      </c>
      <c r="D59" s="44">
        <v>4440.0</v>
      </c>
      <c r="E59" s="45">
        <v>1920.0</v>
      </c>
      <c r="F59" s="44">
        <v>3600.0</v>
      </c>
      <c r="G59" s="45">
        <v>1160.0</v>
      </c>
      <c r="H59" s="44">
        <v>1920.0</v>
      </c>
      <c r="I59" s="44">
        <v>2070.0</v>
      </c>
      <c r="J59" s="44">
        <v>5600.0</v>
      </c>
      <c r="K59" s="44">
        <v>750.0</v>
      </c>
      <c r="L59" s="44">
        <v>1120.0</v>
      </c>
      <c r="M59" s="44">
        <v>1040.0</v>
      </c>
      <c r="N59" s="45">
        <f t="shared" si="1"/>
        <v>27516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ht="22.5" customHeight="1">
      <c r="A60" s="12">
        <v>45775.0</v>
      </c>
      <c r="B60" s="46">
        <v>3360.0</v>
      </c>
      <c r="C60" s="44">
        <v>968.0</v>
      </c>
      <c r="D60" s="44">
        <v>3720.0</v>
      </c>
      <c r="E60" s="45">
        <v>1080.0</v>
      </c>
      <c r="F60" s="44">
        <v>2940.0</v>
      </c>
      <c r="G60" s="45">
        <v>880.0</v>
      </c>
      <c r="H60" s="44">
        <v>840.0</v>
      </c>
      <c r="I60" s="44">
        <v>1380.0</v>
      </c>
      <c r="J60" s="44">
        <v>3200.0</v>
      </c>
      <c r="K60" s="44">
        <v>550.0</v>
      </c>
      <c r="L60" s="44">
        <v>1120.0</v>
      </c>
      <c r="M60" s="44">
        <v>1040.0</v>
      </c>
      <c r="N60" s="45">
        <f t="shared" si="1"/>
        <v>21078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ht="22.5" customHeight="1">
      <c r="A61" s="12">
        <v>45776.0</v>
      </c>
      <c r="B61" s="46">
        <v>4380.0</v>
      </c>
      <c r="C61" s="44">
        <v>1320.0</v>
      </c>
      <c r="D61" s="44">
        <v>2640.0</v>
      </c>
      <c r="E61" s="45">
        <v>520.0</v>
      </c>
      <c r="F61" s="44">
        <v>3000.0</v>
      </c>
      <c r="G61" s="45">
        <v>1120.0</v>
      </c>
      <c r="H61" s="44">
        <v>840.0</v>
      </c>
      <c r="I61" s="44">
        <v>2760.0</v>
      </c>
      <c r="J61" s="44">
        <v>4000.0</v>
      </c>
      <c r="K61" s="44">
        <v>450.0</v>
      </c>
      <c r="L61" s="44">
        <v>1680.0</v>
      </c>
      <c r="M61" s="44">
        <v>1560.0</v>
      </c>
      <c r="N61" s="45">
        <f t="shared" si="1"/>
        <v>24270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ht="22.5" customHeight="1">
      <c r="A62" s="12">
        <v>45777.0</v>
      </c>
      <c r="B62" s="46">
        <v>4080.0</v>
      </c>
      <c r="C62" s="44">
        <v>3432.0</v>
      </c>
      <c r="D62" s="44">
        <v>7560.0</v>
      </c>
      <c r="E62" s="45">
        <v>3920.0</v>
      </c>
      <c r="F62" s="44">
        <v>2580.0</v>
      </c>
      <c r="G62" s="45">
        <v>880.0</v>
      </c>
      <c r="H62" s="44">
        <v>1200.0</v>
      </c>
      <c r="I62" s="44">
        <v>2070.0</v>
      </c>
      <c r="J62" s="44">
        <v>1600.0</v>
      </c>
      <c r="K62" s="44">
        <v>600.0</v>
      </c>
      <c r="L62" s="44">
        <v>840.0</v>
      </c>
      <c r="M62" s="44">
        <v>780.0</v>
      </c>
      <c r="N62" s="45">
        <f t="shared" si="1"/>
        <v>29542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ht="22.5" customHeight="1">
      <c r="A63" s="12"/>
      <c r="B63" s="47">
        <f t="shared" ref="B63:N63" si="2">SUM(B2:B62)</f>
        <v>170040</v>
      </c>
      <c r="C63" s="47">
        <f t="shared" si="2"/>
        <v>125521</v>
      </c>
      <c r="D63" s="47">
        <f t="shared" si="2"/>
        <v>336860</v>
      </c>
      <c r="E63" s="47">
        <f t="shared" si="2"/>
        <v>124441</v>
      </c>
      <c r="F63" s="47">
        <f t="shared" si="2"/>
        <v>155880</v>
      </c>
      <c r="G63" s="47">
        <f t="shared" si="2"/>
        <v>57400</v>
      </c>
      <c r="H63" s="47">
        <f t="shared" si="2"/>
        <v>72885</v>
      </c>
      <c r="I63" s="47">
        <f t="shared" si="2"/>
        <v>134010</v>
      </c>
      <c r="J63" s="47">
        <f t="shared" si="2"/>
        <v>151200</v>
      </c>
      <c r="K63" s="47">
        <f t="shared" si="2"/>
        <v>59350</v>
      </c>
      <c r="L63" s="47">
        <f t="shared" si="2"/>
        <v>67060</v>
      </c>
      <c r="M63" s="47">
        <f t="shared" si="2"/>
        <v>60320</v>
      </c>
      <c r="N63" s="48">
        <f t="shared" si="2"/>
        <v>1514967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ht="22.5" customHeight="1">
      <c r="A64" s="12"/>
      <c r="B64" s="49" t="s">
        <v>27</v>
      </c>
      <c r="C64" s="49" t="s">
        <v>28</v>
      </c>
      <c r="D64" s="49" t="s">
        <v>29</v>
      </c>
      <c r="E64" s="49" t="s">
        <v>30</v>
      </c>
      <c r="F64" s="49" t="s">
        <v>31</v>
      </c>
      <c r="G64" s="49" t="s">
        <v>32</v>
      </c>
      <c r="H64" s="49" t="s">
        <v>33</v>
      </c>
      <c r="I64" s="49" t="s">
        <v>34</v>
      </c>
      <c r="J64" s="49" t="s">
        <v>35</v>
      </c>
      <c r="K64" s="49" t="s">
        <v>36</v>
      </c>
      <c r="L64" s="49" t="s">
        <v>37</v>
      </c>
      <c r="M64" s="50" t="s">
        <v>38</v>
      </c>
      <c r="N64" s="51" t="s">
        <v>50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>
      <c r="A69" s="11"/>
      <c r="B69" s="11"/>
      <c r="C69" s="11"/>
      <c r="D69" s="11"/>
      <c r="E69" s="11"/>
      <c r="F69" s="52" t="s">
        <v>46</v>
      </c>
      <c r="G69" s="52" t="s">
        <v>1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>
      <c r="A70" s="11"/>
      <c r="B70" s="11"/>
      <c r="C70" s="11"/>
      <c r="D70" s="11"/>
      <c r="E70" s="11"/>
      <c r="F70" s="53" t="s">
        <v>27</v>
      </c>
      <c r="G70" s="54">
        <v>170040.0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>
      <c r="A71" s="11"/>
      <c r="B71" s="11"/>
      <c r="C71" s="11"/>
      <c r="D71" s="11"/>
      <c r="E71" s="11"/>
      <c r="F71" s="53" t="s">
        <v>48</v>
      </c>
      <c r="G71" s="54">
        <v>125521.0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>
      <c r="A72" s="11"/>
      <c r="B72" s="11"/>
      <c r="C72" s="11"/>
      <c r="D72" s="11"/>
      <c r="E72" s="11"/>
      <c r="F72" s="53" t="s">
        <v>29</v>
      </c>
      <c r="G72" s="54">
        <v>336860.0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>
      <c r="A73" s="11"/>
      <c r="B73" s="11"/>
      <c r="C73" s="11"/>
      <c r="D73" s="11"/>
      <c r="E73" s="11"/>
      <c r="F73" s="53" t="s">
        <v>51</v>
      </c>
      <c r="G73" s="54">
        <v>124441.0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>
      <c r="A74" s="11"/>
      <c r="B74" s="11"/>
      <c r="C74" s="11"/>
      <c r="D74" s="11"/>
      <c r="E74" s="11"/>
      <c r="F74" s="53" t="s">
        <v>31</v>
      </c>
      <c r="G74" s="54">
        <v>155880.0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>
      <c r="A75" s="11"/>
      <c r="B75" s="11"/>
      <c r="C75" s="11"/>
      <c r="D75" s="11"/>
      <c r="E75" s="11"/>
      <c r="F75" s="53" t="s">
        <v>34</v>
      </c>
      <c r="G75" s="54">
        <v>134010.0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>
      <c r="A76" s="11"/>
      <c r="B76" s="11"/>
      <c r="C76" s="11"/>
      <c r="D76" s="11"/>
      <c r="E76" s="11"/>
      <c r="F76" s="53" t="s">
        <v>35</v>
      </c>
      <c r="G76" s="54">
        <v>151200.0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>
      <c r="A77" s="11"/>
      <c r="B77" s="11"/>
      <c r="C77" s="11"/>
      <c r="D77" s="11"/>
      <c r="E77" s="11"/>
      <c r="F77" s="53" t="s">
        <v>36</v>
      </c>
      <c r="G77" s="54">
        <v>59350.0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>
      <c r="A78" s="11"/>
      <c r="B78" s="11"/>
      <c r="C78" s="11"/>
      <c r="D78" s="11"/>
      <c r="E78" s="11"/>
      <c r="F78" s="53" t="s">
        <v>32</v>
      </c>
      <c r="G78" s="54">
        <v>57400.0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>
      <c r="A79" s="11"/>
      <c r="B79" s="11"/>
      <c r="C79" s="11"/>
      <c r="D79" s="11"/>
      <c r="E79" s="11"/>
      <c r="F79" s="53" t="s">
        <v>37</v>
      </c>
      <c r="G79" s="54">
        <v>67060.0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>
      <c r="A80" s="11"/>
      <c r="B80" s="11"/>
      <c r="C80" s="11"/>
      <c r="D80" s="11"/>
      <c r="E80" s="11"/>
      <c r="F80" s="53" t="s">
        <v>33</v>
      </c>
      <c r="G80" s="54">
        <v>72885.0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>
      <c r="A81" s="11"/>
      <c r="B81" s="11"/>
      <c r="C81" s="11"/>
      <c r="D81" s="11"/>
      <c r="E81" s="11"/>
      <c r="F81" s="53" t="s">
        <v>38</v>
      </c>
      <c r="G81" s="54">
        <v>60320.0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>
      <c r="A90" s="11"/>
      <c r="B90" s="11"/>
      <c r="C90" s="11"/>
      <c r="D90" s="11"/>
      <c r="E90" s="11"/>
      <c r="F90" s="11"/>
      <c r="G90" s="11"/>
      <c r="H90" s="55"/>
      <c r="I90" s="55"/>
      <c r="J90" s="55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1"/>
      <c r="D91" s="11"/>
      <c r="E91" s="11"/>
      <c r="F91" s="11"/>
      <c r="G91" s="11"/>
      <c r="H91" s="55"/>
      <c r="I91" s="55"/>
      <c r="J91" s="55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1"/>
      <c r="D92" s="11"/>
      <c r="E92" s="11"/>
      <c r="F92" s="11"/>
      <c r="G92" s="11"/>
      <c r="H92" s="55"/>
      <c r="I92" s="55"/>
      <c r="J92" s="55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1"/>
      <c r="D93" s="11"/>
      <c r="E93" s="11"/>
      <c r="F93" s="11"/>
      <c r="G93" s="11"/>
      <c r="H93" s="55"/>
      <c r="I93" s="55"/>
      <c r="J93" s="55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1"/>
      <c r="D94" s="11"/>
      <c r="E94" s="11"/>
      <c r="F94" s="11"/>
      <c r="G94" s="11"/>
      <c r="H94" s="55"/>
      <c r="I94" s="55"/>
      <c r="J94" s="55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1"/>
      <c r="D95" s="11"/>
      <c r="E95" s="11"/>
      <c r="F95" s="11"/>
      <c r="G95" s="11"/>
      <c r="H95" s="55"/>
      <c r="I95" s="55"/>
      <c r="J95" s="55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1"/>
      <c r="D96" s="11"/>
      <c r="E96" s="11"/>
      <c r="F96" s="11"/>
      <c r="G96" s="11"/>
      <c r="H96" s="55"/>
      <c r="I96" s="55"/>
      <c r="J96" s="55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1"/>
      <c r="D97" s="11"/>
      <c r="E97" s="11"/>
      <c r="F97" s="11"/>
      <c r="G97" s="11"/>
      <c r="H97" s="55"/>
      <c r="I97" s="55"/>
      <c r="J97" s="55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1"/>
      <c r="D98" s="11"/>
      <c r="E98" s="11"/>
      <c r="F98" s="11"/>
      <c r="G98" s="11"/>
      <c r="H98" s="55"/>
      <c r="I98" s="55"/>
      <c r="J98" s="55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1"/>
      <c r="D99" s="11"/>
      <c r="E99" s="11"/>
      <c r="F99" s="11"/>
      <c r="G99" s="11"/>
      <c r="H99" s="55"/>
      <c r="I99" s="55"/>
      <c r="J99" s="55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1"/>
      <c r="D100" s="11"/>
      <c r="E100" s="11"/>
      <c r="F100" s="11"/>
      <c r="G100" s="11"/>
      <c r="H100" s="55"/>
      <c r="I100" s="55"/>
      <c r="J100" s="55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1"/>
      <c r="D101" s="11"/>
      <c r="E101" s="11"/>
      <c r="F101" s="11"/>
      <c r="G101" s="11"/>
      <c r="H101" s="55"/>
      <c r="I101" s="55"/>
      <c r="J101" s="55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56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  <row r="1000"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</row>
    <row r="1001"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</row>
  </sheetData>
  <dataValidations>
    <dataValidation type="custom" allowBlank="1" showDropDown="1" sqref="A2:A64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3.5"/>
    <col customWidth="1" min="4" max="4" width="20.63"/>
    <col customWidth="1" min="5" max="5" width="19.0"/>
    <col customWidth="1" min="6" max="6" width="18.38"/>
    <col customWidth="1" min="7" max="7" width="23.63"/>
    <col customWidth="1" min="8" max="8" width="23.38"/>
    <col customWidth="1" min="9" max="9" width="15.63"/>
    <col customWidth="1" min="10" max="10" width="17.0"/>
    <col customWidth="1" min="11" max="11" width="17.63"/>
    <col customWidth="1" min="12" max="12" width="20.0"/>
    <col customWidth="1" min="13" max="13" width="17.38"/>
    <col customWidth="1" min="14" max="14" width="23.25"/>
    <col customWidth="1" min="15" max="15" width="16.13"/>
  </cols>
  <sheetData>
    <row r="1" ht="22.5" customHeight="1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9" t="s">
        <v>52</v>
      </c>
      <c r="O1" s="10" t="s">
        <v>53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22.5" customHeight="1">
      <c r="A2" s="12">
        <v>45717.0</v>
      </c>
      <c r="B2" s="57">
        <v>1649.0</v>
      </c>
      <c r="C2" s="44">
        <v>2688.0</v>
      </c>
      <c r="D2" s="44">
        <v>5311.0</v>
      </c>
      <c r="E2" s="45">
        <v>2177.5</v>
      </c>
      <c r="F2" s="44">
        <v>1767.0</v>
      </c>
      <c r="G2" s="45">
        <v>630.0</v>
      </c>
      <c r="H2" s="44">
        <v>784.0</v>
      </c>
      <c r="I2" s="44">
        <v>3000.0</v>
      </c>
      <c r="J2" s="44">
        <v>1240.0</v>
      </c>
      <c r="K2" s="44">
        <v>1280.0</v>
      </c>
      <c r="L2" s="44">
        <v>2242.0</v>
      </c>
      <c r="M2" s="44">
        <v>1035.0</v>
      </c>
      <c r="N2" s="45">
        <f t="shared" ref="N2:N62" si="1">SUM(B2:M2)</f>
        <v>23803.5</v>
      </c>
      <c r="O2" s="58">
        <f t="shared" ref="O2:O62" si="2">N2/12</f>
        <v>1983.625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22.5" customHeight="1">
      <c r="A3" s="12">
        <v>45718.0</v>
      </c>
      <c r="B3" s="57">
        <v>3734.5</v>
      </c>
      <c r="C3" s="44">
        <v>1176.0</v>
      </c>
      <c r="D3" s="44">
        <v>6215.0</v>
      </c>
      <c r="E3" s="45">
        <v>2015.0</v>
      </c>
      <c r="F3" s="44">
        <v>1653.0</v>
      </c>
      <c r="G3" s="45">
        <v>870.0</v>
      </c>
      <c r="H3" s="44">
        <v>1232.0</v>
      </c>
      <c r="I3" s="44">
        <v>1200.0</v>
      </c>
      <c r="J3" s="44">
        <v>1860.0</v>
      </c>
      <c r="K3" s="44">
        <v>1280.0</v>
      </c>
      <c r="L3" s="44">
        <v>708.0</v>
      </c>
      <c r="M3" s="44">
        <v>690.0</v>
      </c>
      <c r="N3" s="45">
        <f t="shared" si="1"/>
        <v>22633.5</v>
      </c>
      <c r="O3" s="58">
        <f t="shared" si="2"/>
        <v>1886.125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22.5" customHeight="1">
      <c r="A4" s="12">
        <v>45719.0</v>
      </c>
      <c r="B4" s="57">
        <v>1503.5</v>
      </c>
      <c r="C4" s="44">
        <v>2394.0</v>
      </c>
      <c r="D4" s="44">
        <v>3842.0</v>
      </c>
      <c r="E4" s="45">
        <v>1430.0</v>
      </c>
      <c r="F4" s="44">
        <v>1824.0</v>
      </c>
      <c r="G4" s="45">
        <v>750.0</v>
      </c>
      <c r="H4" s="44">
        <v>1120.0</v>
      </c>
      <c r="I4" s="44">
        <v>1800.0</v>
      </c>
      <c r="J4" s="44">
        <v>620.0</v>
      </c>
      <c r="K4" s="44">
        <v>880.0</v>
      </c>
      <c r="L4" s="44">
        <v>1180.0</v>
      </c>
      <c r="M4" s="44">
        <v>1150.0</v>
      </c>
      <c r="N4" s="45">
        <f t="shared" si="1"/>
        <v>18493.5</v>
      </c>
      <c r="O4" s="58">
        <f t="shared" si="2"/>
        <v>1541.125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22.5" customHeight="1">
      <c r="A5" s="12">
        <v>45720.0</v>
      </c>
      <c r="B5" s="57">
        <v>824.5</v>
      </c>
      <c r="C5" s="44">
        <v>1386.0</v>
      </c>
      <c r="D5" s="44">
        <v>4407.0</v>
      </c>
      <c r="E5" s="45">
        <v>1462.5</v>
      </c>
      <c r="F5" s="44">
        <v>2850.0</v>
      </c>
      <c r="G5" s="45">
        <v>660.0</v>
      </c>
      <c r="H5" s="44">
        <v>560.0</v>
      </c>
      <c r="I5" s="44">
        <v>3600.0</v>
      </c>
      <c r="J5" s="44">
        <v>2480.0</v>
      </c>
      <c r="K5" s="44">
        <v>1840.0</v>
      </c>
      <c r="L5" s="44">
        <v>1416.0</v>
      </c>
      <c r="M5" s="44">
        <v>805.0</v>
      </c>
      <c r="N5" s="45">
        <f t="shared" si="1"/>
        <v>22291</v>
      </c>
      <c r="O5" s="58">
        <f t="shared" si="2"/>
        <v>1857.583333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22.5" customHeight="1">
      <c r="A6" s="12">
        <v>45721.0</v>
      </c>
      <c r="B6" s="57">
        <v>2425.0</v>
      </c>
      <c r="C6" s="44">
        <v>1428.0</v>
      </c>
      <c r="D6" s="44">
        <v>2373.0</v>
      </c>
      <c r="E6" s="45">
        <v>2600.0</v>
      </c>
      <c r="F6" s="44">
        <v>2166.0</v>
      </c>
      <c r="G6" s="45">
        <v>630.0</v>
      </c>
      <c r="H6" s="44">
        <v>1904.0</v>
      </c>
      <c r="I6" s="44">
        <v>600.0</v>
      </c>
      <c r="J6" s="44">
        <v>1240.0</v>
      </c>
      <c r="K6" s="44">
        <v>1360.0</v>
      </c>
      <c r="L6" s="44">
        <v>1062.0</v>
      </c>
      <c r="M6" s="44">
        <v>1035.0</v>
      </c>
      <c r="N6" s="45">
        <f t="shared" si="1"/>
        <v>18823</v>
      </c>
      <c r="O6" s="58">
        <f t="shared" si="2"/>
        <v>1568.583333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22.5" customHeight="1">
      <c r="A7" s="12">
        <v>45722.0</v>
      </c>
      <c r="B7" s="59">
        <v>1649.0</v>
      </c>
      <c r="C7" s="44">
        <v>4032.0</v>
      </c>
      <c r="D7" s="44">
        <v>4746.0</v>
      </c>
      <c r="E7" s="45">
        <v>942.5</v>
      </c>
      <c r="F7" s="44">
        <v>2337.0</v>
      </c>
      <c r="G7" s="45">
        <v>750.0</v>
      </c>
      <c r="H7" s="44">
        <v>672.0</v>
      </c>
      <c r="I7" s="44">
        <v>1800.0</v>
      </c>
      <c r="J7" s="44">
        <v>1860.0</v>
      </c>
      <c r="K7" s="44">
        <v>800.0</v>
      </c>
      <c r="L7" s="44">
        <v>1416.0</v>
      </c>
      <c r="M7" s="44">
        <v>1380.0</v>
      </c>
      <c r="N7" s="45">
        <f t="shared" si="1"/>
        <v>22384.5</v>
      </c>
      <c r="O7" s="58">
        <f t="shared" si="2"/>
        <v>1865.375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22.5" customHeight="1">
      <c r="A8" s="12">
        <v>45723.0</v>
      </c>
      <c r="B8" s="57">
        <v>2522.0</v>
      </c>
      <c r="C8" s="44">
        <v>1554.0</v>
      </c>
      <c r="D8" s="44">
        <v>6780.0</v>
      </c>
      <c r="E8" s="45">
        <v>1755.0</v>
      </c>
      <c r="F8" s="44">
        <v>2280.0</v>
      </c>
      <c r="G8" s="45">
        <v>750.0</v>
      </c>
      <c r="H8" s="44">
        <v>1008.0</v>
      </c>
      <c r="I8" s="44">
        <v>600.0</v>
      </c>
      <c r="J8" s="44">
        <v>1860.0</v>
      </c>
      <c r="K8" s="44">
        <v>1240.0</v>
      </c>
      <c r="L8" s="44">
        <v>590.0</v>
      </c>
      <c r="M8" s="44">
        <v>575.0</v>
      </c>
      <c r="N8" s="45">
        <f t="shared" si="1"/>
        <v>21514</v>
      </c>
      <c r="O8" s="58">
        <f t="shared" si="2"/>
        <v>1792.833333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22.5" customHeight="1">
      <c r="A9" s="12">
        <v>45724.0</v>
      </c>
      <c r="B9" s="57">
        <v>1067.0</v>
      </c>
      <c r="C9" s="44">
        <v>1176.0</v>
      </c>
      <c r="D9" s="44">
        <v>10622.0</v>
      </c>
      <c r="E9" s="45">
        <v>520.0</v>
      </c>
      <c r="F9" s="44">
        <v>1653.0</v>
      </c>
      <c r="G9" s="45">
        <v>540.0</v>
      </c>
      <c r="H9" s="44">
        <v>1344.0</v>
      </c>
      <c r="I9" s="44">
        <v>1200.0</v>
      </c>
      <c r="J9" s="44">
        <v>0.0</v>
      </c>
      <c r="K9" s="44">
        <v>1800.0</v>
      </c>
      <c r="L9" s="44">
        <v>1062.0</v>
      </c>
      <c r="M9" s="44">
        <v>1035.0</v>
      </c>
      <c r="N9" s="45">
        <f t="shared" si="1"/>
        <v>22019</v>
      </c>
      <c r="O9" s="58">
        <f t="shared" si="2"/>
        <v>1834.916667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22.5" customHeight="1">
      <c r="A10" s="12">
        <v>45725.0</v>
      </c>
      <c r="B10" s="57">
        <v>1552.0</v>
      </c>
      <c r="C10" s="44">
        <v>1050.0</v>
      </c>
      <c r="D10" s="44">
        <v>5537.0</v>
      </c>
      <c r="E10" s="45">
        <v>747.5</v>
      </c>
      <c r="F10" s="44">
        <v>2451.0</v>
      </c>
      <c r="G10" s="45">
        <v>660.0</v>
      </c>
      <c r="H10" s="44">
        <v>2088.0</v>
      </c>
      <c r="I10" s="44">
        <v>1800.0</v>
      </c>
      <c r="J10" s="44">
        <v>1240.0</v>
      </c>
      <c r="K10" s="44">
        <v>1240.0</v>
      </c>
      <c r="L10" s="44">
        <v>1180.0</v>
      </c>
      <c r="M10" s="44">
        <v>1150.0</v>
      </c>
      <c r="N10" s="45">
        <f t="shared" si="1"/>
        <v>20695.5</v>
      </c>
      <c r="O10" s="58">
        <f t="shared" si="2"/>
        <v>1724.625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22.5" customHeight="1">
      <c r="A11" s="12">
        <v>45726.0</v>
      </c>
      <c r="B11" s="57">
        <v>1746.0</v>
      </c>
      <c r="C11" s="44">
        <v>3526.0</v>
      </c>
      <c r="D11" s="44">
        <v>3051.0</v>
      </c>
      <c r="E11" s="45">
        <v>1072.5</v>
      </c>
      <c r="F11" s="44">
        <v>3420.0</v>
      </c>
      <c r="G11" s="45">
        <v>510.0</v>
      </c>
      <c r="H11" s="44">
        <v>1392.0</v>
      </c>
      <c r="I11" s="44">
        <v>1800.0</v>
      </c>
      <c r="J11" s="44">
        <v>1860.0</v>
      </c>
      <c r="K11" s="44">
        <v>1600.0</v>
      </c>
      <c r="L11" s="44">
        <v>826.0</v>
      </c>
      <c r="M11" s="44">
        <v>805.0</v>
      </c>
      <c r="N11" s="45">
        <f t="shared" si="1"/>
        <v>21608.5</v>
      </c>
      <c r="O11" s="58">
        <f t="shared" si="2"/>
        <v>1800.708333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22.5" customHeight="1">
      <c r="A12" s="12">
        <v>45727.0</v>
      </c>
      <c r="B12" s="57">
        <v>4025.5</v>
      </c>
      <c r="C12" s="44">
        <v>4085.0</v>
      </c>
      <c r="D12" s="44">
        <v>5989.0</v>
      </c>
      <c r="E12" s="45">
        <v>1950.0</v>
      </c>
      <c r="F12" s="44">
        <v>3021.0</v>
      </c>
      <c r="G12" s="45">
        <v>480.0</v>
      </c>
      <c r="H12" s="44">
        <v>812.0</v>
      </c>
      <c r="I12" s="44">
        <v>600.0</v>
      </c>
      <c r="J12" s="44">
        <v>1240.0</v>
      </c>
      <c r="K12" s="44">
        <v>1680.0</v>
      </c>
      <c r="L12" s="44">
        <v>708.0</v>
      </c>
      <c r="M12" s="44">
        <v>690.0</v>
      </c>
      <c r="N12" s="45">
        <f t="shared" si="1"/>
        <v>25280.5</v>
      </c>
      <c r="O12" s="58">
        <f t="shared" si="2"/>
        <v>2106.708333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22.5" customHeight="1">
      <c r="A13" s="12">
        <v>45728.0</v>
      </c>
      <c r="B13" s="57">
        <v>2328.0</v>
      </c>
      <c r="C13" s="44">
        <v>1505.0</v>
      </c>
      <c r="D13" s="44">
        <v>8362.0</v>
      </c>
      <c r="E13" s="45">
        <v>1982.5</v>
      </c>
      <c r="F13" s="44">
        <v>2337.0</v>
      </c>
      <c r="G13" s="45">
        <v>780.0</v>
      </c>
      <c r="H13" s="44">
        <v>2088.0</v>
      </c>
      <c r="I13" s="44">
        <v>1200.0</v>
      </c>
      <c r="J13" s="44">
        <v>620.0</v>
      </c>
      <c r="K13" s="44">
        <v>1240.0</v>
      </c>
      <c r="L13" s="44">
        <v>1180.0</v>
      </c>
      <c r="M13" s="44">
        <v>1150.0</v>
      </c>
      <c r="N13" s="45">
        <f t="shared" si="1"/>
        <v>24772.5</v>
      </c>
      <c r="O13" s="58">
        <f t="shared" si="2"/>
        <v>2064.375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22.5" customHeight="1">
      <c r="A14" s="12">
        <v>45729.0</v>
      </c>
      <c r="B14" s="57">
        <v>3346.5</v>
      </c>
      <c r="C14" s="44">
        <v>2580.0</v>
      </c>
      <c r="D14" s="44">
        <v>9266.0</v>
      </c>
      <c r="E14" s="45">
        <v>1202.5</v>
      </c>
      <c r="F14" s="44">
        <v>2565.0</v>
      </c>
      <c r="G14" s="45">
        <v>600.0</v>
      </c>
      <c r="H14" s="44">
        <v>696.0</v>
      </c>
      <c r="I14" s="44">
        <v>2400.0</v>
      </c>
      <c r="J14" s="44">
        <v>1240.0</v>
      </c>
      <c r="K14" s="44">
        <v>1240.0</v>
      </c>
      <c r="L14" s="44">
        <v>1180.0</v>
      </c>
      <c r="M14" s="44">
        <v>1150.0</v>
      </c>
      <c r="N14" s="45">
        <f t="shared" si="1"/>
        <v>27466</v>
      </c>
      <c r="O14" s="58">
        <f t="shared" si="2"/>
        <v>2288.833333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22.5" customHeight="1">
      <c r="A15" s="12">
        <v>45730.0</v>
      </c>
      <c r="B15" s="57">
        <v>1600.5</v>
      </c>
      <c r="C15" s="44">
        <v>2064.0</v>
      </c>
      <c r="D15" s="44">
        <v>5424.0</v>
      </c>
      <c r="E15" s="45">
        <v>1462.5</v>
      </c>
      <c r="F15" s="44">
        <v>1767.0</v>
      </c>
      <c r="G15" s="45">
        <v>480.0</v>
      </c>
      <c r="H15" s="44">
        <v>1044.0</v>
      </c>
      <c r="I15" s="44">
        <v>0.0</v>
      </c>
      <c r="J15" s="44">
        <v>620.0</v>
      </c>
      <c r="K15" s="44">
        <v>1600.0</v>
      </c>
      <c r="L15" s="44">
        <v>590.0</v>
      </c>
      <c r="M15" s="44">
        <v>575.0</v>
      </c>
      <c r="N15" s="45">
        <f t="shared" si="1"/>
        <v>17227</v>
      </c>
      <c r="O15" s="58">
        <f t="shared" si="2"/>
        <v>1435.583333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22.5" customHeight="1">
      <c r="A16" s="12">
        <v>45731.0</v>
      </c>
      <c r="B16" s="57">
        <v>2376.5</v>
      </c>
      <c r="C16" s="44">
        <v>731.0</v>
      </c>
      <c r="D16" s="44">
        <v>3616.0</v>
      </c>
      <c r="E16" s="45">
        <v>1137.5</v>
      </c>
      <c r="F16" s="44">
        <v>3021.0</v>
      </c>
      <c r="G16" s="45">
        <v>450.0</v>
      </c>
      <c r="H16" s="44">
        <v>696.0</v>
      </c>
      <c r="I16" s="44">
        <v>1220.0</v>
      </c>
      <c r="J16" s="44">
        <v>1860.0</v>
      </c>
      <c r="K16" s="44">
        <v>1200.0</v>
      </c>
      <c r="L16" s="44">
        <v>944.0</v>
      </c>
      <c r="M16" s="44">
        <v>920.0</v>
      </c>
      <c r="N16" s="45">
        <f t="shared" si="1"/>
        <v>18172</v>
      </c>
      <c r="O16" s="58">
        <f t="shared" si="2"/>
        <v>1514.333333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22.5" customHeight="1">
      <c r="A17" s="12">
        <v>45732.0</v>
      </c>
      <c r="B17" s="57">
        <v>3346.5</v>
      </c>
      <c r="C17" s="44">
        <v>2537.0</v>
      </c>
      <c r="D17" s="44">
        <v>7006.0</v>
      </c>
      <c r="E17" s="45">
        <v>2275.0</v>
      </c>
      <c r="F17" s="44">
        <v>2793.0</v>
      </c>
      <c r="G17" s="45">
        <v>780.0</v>
      </c>
      <c r="H17" s="44">
        <v>812.0</v>
      </c>
      <c r="I17" s="44">
        <v>4270.0</v>
      </c>
      <c r="J17" s="44">
        <v>0.0</v>
      </c>
      <c r="K17" s="44">
        <v>1120.0</v>
      </c>
      <c r="L17" s="44">
        <v>826.0</v>
      </c>
      <c r="M17" s="44">
        <v>805.0</v>
      </c>
      <c r="N17" s="45">
        <f t="shared" si="1"/>
        <v>26570.5</v>
      </c>
      <c r="O17" s="58">
        <f t="shared" si="2"/>
        <v>2214.208333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ht="22.5" customHeight="1">
      <c r="A18" s="12">
        <v>45733.0</v>
      </c>
      <c r="B18" s="57">
        <v>1212.5</v>
      </c>
      <c r="C18" s="44">
        <v>2924.0</v>
      </c>
      <c r="D18" s="44">
        <v>3955.0</v>
      </c>
      <c r="E18" s="45">
        <v>682.5</v>
      </c>
      <c r="F18" s="44">
        <v>1767.0</v>
      </c>
      <c r="G18" s="45">
        <v>780.0</v>
      </c>
      <c r="H18" s="44">
        <v>580.0</v>
      </c>
      <c r="I18" s="44">
        <v>3050.0</v>
      </c>
      <c r="J18" s="44">
        <v>1240.0</v>
      </c>
      <c r="K18" s="44">
        <v>480.0</v>
      </c>
      <c r="L18" s="44">
        <v>480.0</v>
      </c>
      <c r="M18" s="44">
        <v>460.0</v>
      </c>
      <c r="N18" s="45">
        <f t="shared" si="1"/>
        <v>17611</v>
      </c>
      <c r="O18" s="58">
        <f t="shared" si="2"/>
        <v>1467.583333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22.5" customHeight="1">
      <c r="A19" s="12">
        <v>45734.0</v>
      </c>
      <c r="B19" s="57">
        <v>776.0</v>
      </c>
      <c r="C19" s="44">
        <v>1161.0</v>
      </c>
      <c r="D19" s="44">
        <v>6441.0</v>
      </c>
      <c r="E19" s="45">
        <v>2047.5</v>
      </c>
      <c r="F19" s="44">
        <v>2850.0</v>
      </c>
      <c r="G19" s="45">
        <v>930.0</v>
      </c>
      <c r="H19" s="44">
        <v>1392.0</v>
      </c>
      <c r="I19" s="44">
        <v>0.0</v>
      </c>
      <c r="J19" s="44">
        <v>2480.0</v>
      </c>
      <c r="K19" s="44">
        <v>1000.0</v>
      </c>
      <c r="L19" s="44">
        <v>1200.0</v>
      </c>
      <c r="M19" s="44">
        <v>1150.0</v>
      </c>
      <c r="N19" s="45">
        <f t="shared" si="1"/>
        <v>21427.5</v>
      </c>
      <c r="O19" s="58">
        <f t="shared" si="2"/>
        <v>1785.625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22.5" customHeight="1">
      <c r="A20" s="12">
        <v>45735.0</v>
      </c>
      <c r="B20" s="57">
        <v>4898.5</v>
      </c>
      <c r="C20" s="44">
        <v>903.0</v>
      </c>
      <c r="D20" s="44">
        <v>8927.0</v>
      </c>
      <c r="E20" s="45">
        <v>1852.5</v>
      </c>
      <c r="F20" s="44">
        <v>1710.0</v>
      </c>
      <c r="G20" s="45">
        <v>720.0</v>
      </c>
      <c r="H20" s="44">
        <v>2088.0</v>
      </c>
      <c r="I20" s="44">
        <v>3050.0</v>
      </c>
      <c r="J20" s="44">
        <v>1240.0</v>
      </c>
      <c r="K20" s="44">
        <v>560.0</v>
      </c>
      <c r="L20" s="44">
        <v>960.0</v>
      </c>
      <c r="M20" s="44">
        <v>920.0</v>
      </c>
      <c r="N20" s="45">
        <f t="shared" si="1"/>
        <v>27829</v>
      </c>
      <c r="O20" s="58">
        <f t="shared" si="2"/>
        <v>2319.083333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22.5" customHeight="1">
      <c r="A21" s="12">
        <v>45736.0</v>
      </c>
      <c r="B21" s="57">
        <v>1455.0</v>
      </c>
      <c r="C21" s="44">
        <v>1247.0</v>
      </c>
      <c r="D21" s="44">
        <v>2486.0</v>
      </c>
      <c r="E21" s="45">
        <v>2957.5</v>
      </c>
      <c r="F21" s="44">
        <v>2337.0</v>
      </c>
      <c r="G21" s="45">
        <v>900.0</v>
      </c>
      <c r="H21" s="44">
        <v>1521.0</v>
      </c>
      <c r="I21" s="44">
        <v>2440.0</v>
      </c>
      <c r="J21" s="44">
        <v>0.0</v>
      </c>
      <c r="K21" s="44">
        <v>760.0</v>
      </c>
      <c r="L21" s="44">
        <v>480.0</v>
      </c>
      <c r="M21" s="44">
        <v>460.0</v>
      </c>
      <c r="N21" s="45">
        <f t="shared" si="1"/>
        <v>17043.5</v>
      </c>
      <c r="O21" s="58">
        <f t="shared" si="2"/>
        <v>1420.291667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22.5" customHeight="1">
      <c r="A22" s="12">
        <v>45737.0</v>
      </c>
      <c r="B22" s="57">
        <v>3492.0</v>
      </c>
      <c r="C22" s="44">
        <v>3096.0</v>
      </c>
      <c r="D22" s="44">
        <v>4859.0</v>
      </c>
      <c r="E22" s="45">
        <v>1852.5</v>
      </c>
      <c r="F22" s="44">
        <v>2850.0</v>
      </c>
      <c r="G22" s="45">
        <v>870.0</v>
      </c>
      <c r="H22" s="44">
        <v>1170.0</v>
      </c>
      <c r="I22" s="44">
        <v>1830.0</v>
      </c>
      <c r="J22" s="44">
        <v>1860.0</v>
      </c>
      <c r="K22" s="44">
        <v>160.0</v>
      </c>
      <c r="L22" s="44">
        <v>840.0</v>
      </c>
      <c r="M22" s="44">
        <v>805.0</v>
      </c>
      <c r="N22" s="45">
        <f t="shared" si="1"/>
        <v>23684.5</v>
      </c>
      <c r="O22" s="58">
        <f t="shared" si="2"/>
        <v>1973.708333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22.5" customHeight="1">
      <c r="A23" s="12">
        <v>45738.0</v>
      </c>
      <c r="B23" s="57">
        <v>2085.5</v>
      </c>
      <c r="C23" s="44">
        <v>774.0</v>
      </c>
      <c r="D23" s="44">
        <v>8588.0</v>
      </c>
      <c r="E23" s="45">
        <v>2632.5</v>
      </c>
      <c r="F23" s="44">
        <v>1938.0</v>
      </c>
      <c r="G23" s="45">
        <v>870.0</v>
      </c>
      <c r="H23" s="44">
        <v>585.0</v>
      </c>
      <c r="I23" s="44">
        <v>610.0</v>
      </c>
      <c r="J23" s="44">
        <v>1860.0</v>
      </c>
      <c r="K23" s="44">
        <v>280.0</v>
      </c>
      <c r="L23" s="44">
        <v>360.0</v>
      </c>
      <c r="M23" s="44">
        <v>345.0</v>
      </c>
      <c r="N23" s="45">
        <f t="shared" si="1"/>
        <v>20928</v>
      </c>
      <c r="O23" s="58">
        <f t="shared" si="2"/>
        <v>1744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22.5" customHeight="1">
      <c r="A24" s="12">
        <v>45739.0</v>
      </c>
      <c r="B24" s="59">
        <v>2861.5</v>
      </c>
      <c r="C24" s="44">
        <v>2322.0</v>
      </c>
      <c r="D24" s="44">
        <v>8927.0</v>
      </c>
      <c r="E24" s="45">
        <v>2600.0</v>
      </c>
      <c r="F24" s="44">
        <v>2622.0</v>
      </c>
      <c r="G24" s="45">
        <v>780.0</v>
      </c>
      <c r="H24" s="44">
        <v>1872.0</v>
      </c>
      <c r="I24" s="44">
        <v>610.0</v>
      </c>
      <c r="J24" s="44">
        <v>3100.0</v>
      </c>
      <c r="K24" s="44">
        <v>520.0</v>
      </c>
      <c r="L24" s="44">
        <v>1440.0</v>
      </c>
      <c r="M24" s="44">
        <v>1380.0</v>
      </c>
      <c r="N24" s="45">
        <f t="shared" si="1"/>
        <v>29034.5</v>
      </c>
      <c r="O24" s="58">
        <f t="shared" si="2"/>
        <v>2419.541667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22.5" customHeight="1">
      <c r="A25" s="12">
        <v>45740.0</v>
      </c>
      <c r="B25" s="57">
        <v>2522.0</v>
      </c>
      <c r="C25" s="44">
        <v>2451.0</v>
      </c>
      <c r="D25" s="44">
        <v>5831.0</v>
      </c>
      <c r="E25" s="45">
        <v>1137.5</v>
      </c>
      <c r="F25" s="44">
        <v>2451.0</v>
      </c>
      <c r="G25" s="45">
        <v>510.0</v>
      </c>
      <c r="H25" s="44">
        <v>585.0</v>
      </c>
      <c r="I25" s="44">
        <v>1220.0</v>
      </c>
      <c r="J25" s="44">
        <v>620.0</v>
      </c>
      <c r="K25" s="44">
        <v>240.0</v>
      </c>
      <c r="L25" s="44">
        <v>960.0</v>
      </c>
      <c r="M25" s="44">
        <v>920.0</v>
      </c>
      <c r="N25" s="45">
        <f t="shared" si="1"/>
        <v>19447.5</v>
      </c>
      <c r="O25" s="58">
        <f t="shared" si="2"/>
        <v>1620.625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22.5" customHeight="1">
      <c r="A26" s="12">
        <v>45741.0</v>
      </c>
      <c r="B26" s="57">
        <v>3637.5</v>
      </c>
      <c r="C26" s="44">
        <v>2537.0</v>
      </c>
      <c r="D26" s="44">
        <v>3570.0</v>
      </c>
      <c r="E26" s="45">
        <v>1592.5</v>
      </c>
      <c r="F26" s="44">
        <v>2565.0</v>
      </c>
      <c r="G26" s="45">
        <v>570.0</v>
      </c>
      <c r="H26" s="44">
        <v>585.0</v>
      </c>
      <c r="I26" s="44">
        <v>610.0</v>
      </c>
      <c r="J26" s="44">
        <v>620.0</v>
      </c>
      <c r="K26" s="44">
        <v>560.0</v>
      </c>
      <c r="L26" s="44">
        <v>1320.0</v>
      </c>
      <c r="M26" s="44">
        <v>1265.0</v>
      </c>
      <c r="N26" s="45">
        <f t="shared" si="1"/>
        <v>19432</v>
      </c>
      <c r="O26" s="58">
        <f t="shared" si="2"/>
        <v>1619.333333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22.5" customHeight="1">
      <c r="A27" s="12">
        <v>45742.0</v>
      </c>
      <c r="B27" s="57">
        <v>3686.0</v>
      </c>
      <c r="C27" s="44">
        <v>2408.0</v>
      </c>
      <c r="D27" s="44">
        <v>4284.0</v>
      </c>
      <c r="E27" s="45">
        <v>2244.0</v>
      </c>
      <c r="F27" s="44">
        <v>2508.0</v>
      </c>
      <c r="G27" s="45">
        <v>630.0</v>
      </c>
      <c r="H27" s="44">
        <v>819.0</v>
      </c>
      <c r="I27" s="44">
        <v>0.0</v>
      </c>
      <c r="J27" s="44">
        <v>620.0</v>
      </c>
      <c r="K27" s="44">
        <v>600.0</v>
      </c>
      <c r="L27" s="44">
        <v>360.0</v>
      </c>
      <c r="M27" s="44">
        <v>345.0</v>
      </c>
      <c r="N27" s="45">
        <f t="shared" si="1"/>
        <v>18504</v>
      </c>
      <c r="O27" s="58">
        <f t="shared" si="2"/>
        <v>1542</v>
      </c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22.5" customHeight="1">
      <c r="A28" s="12">
        <v>45743.0</v>
      </c>
      <c r="B28" s="57">
        <v>1649.0</v>
      </c>
      <c r="C28" s="44">
        <v>2623.0</v>
      </c>
      <c r="D28" s="44">
        <v>2737.0</v>
      </c>
      <c r="E28" s="45">
        <v>2277.0</v>
      </c>
      <c r="F28" s="44">
        <v>1824.0</v>
      </c>
      <c r="G28" s="45">
        <v>690.0</v>
      </c>
      <c r="H28" s="44">
        <v>1039.5</v>
      </c>
      <c r="I28" s="44">
        <v>1830.0</v>
      </c>
      <c r="J28" s="44">
        <v>0.0</v>
      </c>
      <c r="K28" s="44">
        <v>400.0</v>
      </c>
      <c r="L28" s="44">
        <v>1440.0</v>
      </c>
      <c r="M28" s="44">
        <v>1380.0</v>
      </c>
      <c r="N28" s="45">
        <f t="shared" si="1"/>
        <v>17889.5</v>
      </c>
      <c r="O28" s="58">
        <f t="shared" si="2"/>
        <v>1490.791667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22.5" customHeight="1">
      <c r="A29" s="12">
        <v>45744.0</v>
      </c>
      <c r="B29" s="57">
        <v>2570.5</v>
      </c>
      <c r="C29" s="44">
        <v>817.0</v>
      </c>
      <c r="D29" s="44">
        <v>8449.0</v>
      </c>
      <c r="E29" s="45">
        <v>429.0</v>
      </c>
      <c r="F29" s="44">
        <v>2850.0</v>
      </c>
      <c r="G29" s="45">
        <v>630.0</v>
      </c>
      <c r="H29" s="44">
        <v>1155.0</v>
      </c>
      <c r="I29" s="44">
        <v>1220.0</v>
      </c>
      <c r="J29" s="44">
        <v>1240.0</v>
      </c>
      <c r="K29" s="44">
        <v>200.0</v>
      </c>
      <c r="L29" s="44">
        <v>600.0</v>
      </c>
      <c r="M29" s="44">
        <v>575.0</v>
      </c>
      <c r="N29" s="45">
        <f t="shared" si="1"/>
        <v>20735.5</v>
      </c>
      <c r="O29" s="58">
        <f t="shared" si="2"/>
        <v>1727.958333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22.5" customHeight="1">
      <c r="A30" s="12">
        <v>45745.0</v>
      </c>
      <c r="B30" s="57">
        <v>1018.5</v>
      </c>
      <c r="C30" s="44">
        <v>2623.0</v>
      </c>
      <c r="D30" s="44">
        <v>2380.0</v>
      </c>
      <c r="E30" s="45">
        <v>1749.0</v>
      </c>
      <c r="F30" s="44">
        <v>2052.0</v>
      </c>
      <c r="G30" s="45">
        <v>960.0</v>
      </c>
      <c r="H30" s="44">
        <v>693.0</v>
      </c>
      <c r="I30" s="44">
        <v>1830.0</v>
      </c>
      <c r="J30" s="44">
        <v>1860.0</v>
      </c>
      <c r="K30" s="44">
        <v>200.0</v>
      </c>
      <c r="L30" s="44">
        <v>1080.0</v>
      </c>
      <c r="M30" s="44">
        <v>1035.0</v>
      </c>
      <c r="N30" s="45">
        <f t="shared" si="1"/>
        <v>17480.5</v>
      </c>
      <c r="O30" s="58">
        <f t="shared" si="2"/>
        <v>1456.708333</v>
      </c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22.5" customHeight="1">
      <c r="A31" s="12">
        <v>45746.0</v>
      </c>
      <c r="B31" s="57">
        <v>1309.5</v>
      </c>
      <c r="C31" s="44">
        <v>2838.0</v>
      </c>
      <c r="D31" s="44">
        <v>5831.0</v>
      </c>
      <c r="E31" s="45">
        <v>594.0</v>
      </c>
      <c r="F31" s="44">
        <v>2280.0</v>
      </c>
      <c r="G31" s="45">
        <v>540.0</v>
      </c>
      <c r="H31" s="44">
        <v>1732.5</v>
      </c>
      <c r="I31" s="44">
        <v>2440.0</v>
      </c>
      <c r="J31" s="44">
        <v>620.0</v>
      </c>
      <c r="K31" s="44">
        <v>720.0</v>
      </c>
      <c r="L31" s="44">
        <v>720.0</v>
      </c>
      <c r="M31" s="44">
        <v>690.0</v>
      </c>
      <c r="N31" s="45">
        <f t="shared" si="1"/>
        <v>20315</v>
      </c>
      <c r="O31" s="58">
        <f t="shared" si="2"/>
        <v>1692.916667</v>
      </c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22.5" customHeight="1">
      <c r="A32" s="12">
        <v>45747.0</v>
      </c>
      <c r="B32" s="57">
        <v>1794.5</v>
      </c>
      <c r="C32" s="44">
        <v>1978.0</v>
      </c>
      <c r="D32" s="44">
        <v>3808.0</v>
      </c>
      <c r="E32" s="45">
        <v>2409.0</v>
      </c>
      <c r="F32" s="44">
        <v>2166.0</v>
      </c>
      <c r="G32" s="45">
        <v>840.0</v>
      </c>
      <c r="H32" s="44">
        <v>1270.5</v>
      </c>
      <c r="I32" s="44">
        <v>1220.0</v>
      </c>
      <c r="J32" s="44">
        <v>620.0</v>
      </c>
      <c r="K32" s="44">
        <v>1520.0</v>
      </c>
      <c r="L32" s="44">
        <v>1320.0</v>
      </c>
      <c r="M32" s="44">
        <v>1265.0</v>
      </c>
      <c r="N32" s="45">
        <f t="shared" si="1"/>
        <v>20211</v>
      </c>
      <c r="O32" s="58">
        <f t="shared" si="2"/>
        <v>1684.25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22.5" customHeight="1">
      <c r="A33" s="12">
        <v>45748.0</v>
      </c>
      <c r="B33" s="59">
        <v>776.0</v>
      </c>
      <c r="C33" s="44">
        <v>989.0</v>
      </c>
      <c r="D33" s="44">
        <v>6426.0</v>
      </c>
      <c r="E33" s="45">
        <v>2211.0</v>
      </c>
      <c r="F33" s="44">
        <v>2679.0</v>
      </c>
      <c r="G33" s="45">
        <v>960.0</v>
      </c>
      <c r="H33" s="44">
        <v>1386.0</v>
      </c>
      <c r="I33" s="44">
        <v>3660.0</v>
      </c>
      <c r="J33" s="44">
        <v>2480.0</v>
      </c>
      <c r="K33" s="44">
        <v>360.0</v>
      </c>
      <c r="L33" s="44">
        <v>600.0</v>
      </c>
      <c r="M33" s="44">
        <v>575.0</v>
      </c>
      <c r="N33" s="45">
        <f t="shared" si="1"/>
        <v>23102</v>
      </c>
      <c r="O33" s="58">
        <f t="shared" si="2"/>
        <v>1925.166667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22.5" customHeight="1">
      <c r="A34" s="12">
        <v>45749.0</v>
      </c>
      <c r="B34" s="59">
        <v>2958.5</v>
      </c>
      <c r="C34" s="44">
        <v>1218.0</v>
      </c>
      <c r="D34" s="44">
        <v>6188.0</v>
      </c>
      <c r="E34" s="45">
        <v>1023.0</v>
      </c>
      <c r="F34" s="44">
        <v>1881.0</v>
      </c>
      <c r="G34" s="45">
        <v>690.0</v>
      </c>
      <c r="H34" s="44">
        <v>693.0</v>
      </c>
      <c r="I34" s="44">
        <v>2440.0</v>
      </c>
      <c r="J34" s="44">
        <v>3720.0</v>
      </c>
      <c r="K34" s="44">
        <v>280.0</v>
      </c>
      <c r="L34" s="44">
        <v>840.0</v>
      </c>
      <c r="M34" s="44">
        <v>805.0</v>
      </c>
      <c r="N34" s="45">
        <f t="shared" si="1"/>
        <v>22736.5</v>
      </c>
      <c r="O34" s="58">
        <f t="shared" si="2"/>
        <v>1894.708333</v>
      </c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22.5" customHeight="1">
      <c r="A35" s="12">
        <v>45750.0</v>
      </c>
      <c r="B35" s="59">
        <v>3007.0</v>
      </c>
      <c r="C35" s="44">
        <v>1008.0</v>
      </c>
      <c r="D35" s="44">
        <v>7140.0</v>
      </c>
      <c r="E35" s="45">
        <v>3861.0</v>
      </c>
      <c r="F35" s="44">
        <v>1653.0</v>
      </c>
      <c r="G35" s="45">
        <v>480.0</v>
      </c>
      <c r="H35" s="44">
        <v>808.5</v>
      </c>
      <c r="I35" s="44">
        <v>4375.0</v>
      </c>
      <c r="J35" s="44">
        <v>4340.0</v>
      </c>
      <c r="K35" s="44">
        <v>480.0</v>
      </c>
      <c r="L35" s="44">
        <v>600.0</v>
      </c>
      <c r="M35" s="44">
        <v>575.0</v>
      </c>
      <c r="N35" s="45">
        <f t="shared" si="1"/>
        <v>28327.5</v>
      </c>
      <c r="O35" s="58">
        <f t="shared" si="2"/>
        <v>2360.625</v>
      </c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22.5" customHeight="1">
      <c r="A36" s="12">
        <v>45751.0</v>
      </c>
      <c r="B36" s="59">
        <v>2231.0</v>
      </c>
      <c r="C36" s="44">
        <v>3108.0</v>
      </c>
      <c r="D36" s="44">
        <v>5474.0</v>
      </c>
      <c r="E36" s="45">
        <v>3234.0</v>
      </c>
      <c r="F36" s="44">
        <v>2451.0</v>
      </c>
      <c r="G36" s="45">
        <v>870.0</v>
      </c>
      <c r="H36" s="44">
        <v>2079.0</v>
      </c>
      <c r="I36" s="44">
        <v>1250.0</v>
      </c>
      <c r="J36" s="44">
        <v>1240.0</v>
      </c>
      <c r="K36" s="44">
        <v>520.0</v>
      </c>
      <c r="L36" s="44">
        <v>1080.0</v>
      </c>
      <c r="M36" s="44">
        <v>1035.0</v>
      </c>
      <c r="N36" s="45">
        <f t="shared" si="1"/>
        <v>24572</v>
      </c>
      <c r="O36" s="58">
        <f t="shared" si="2"/>
        <v>2047.666667</v>
      </c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22.5" customHeight="1">
      <c r="A37" s="12">
        <v>45752.0</v>
      </c>
      <c r="B37" s="59">
        <v>1697.5</v>
      </c>
      <c r="C37" s="44">
        <v>2268.0</v>
      </c>
      <c r="D37" s="44">
        <v>4046.0</v>
      </c>
      <c r="E37" s="45">
        <v>1914.0</v>
      </c>
      <c r="F37" s="44">
        <v>2964.0</v>
      </c>
      <c r="G37" s="45">
        <v>630.0</v>
      </c>
      <c r="H37" s="44">
        <v>924.0</v>
      </c>
      <c r="I37" s="44">
        <v>3750.0</v>
      </c>
      <c r="J37" s="44">
        <v>4960.0</v>
      </c>
      <c r="K37" s="44">
        <v>400.0</v>
      </c>
      <c r="L37" s="44">
        <v>840.0</v>
      </c>
      <c r="M37" s="44">
        <v>805.0</v>
      </c>
      <c r="N37" s="45">
        <f t="shared" si="1"/>
        <v>25198.5</v>
      </c>
      <c r="O37" s="58">
        <f t="shared" si="2"/>
        <v>2099.875</v>
      </c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22.5" customHeight="1">
      <c r="A38" s="12">
        <v>45753.0</v>
      </c>
      <c r="B38" s="59">
        <v>3783.0</v>
      </c>
      <c r="C38" s="44">
        <v>1176.0</v>
      </c>
      <c r="D38" s="44">
        <v>9266.0</v>
      </c>
      <c r="E38" s="45">
        <v>3300.0</v>
      </c>
      <c r="F38" s="44">
        <v>2850.0</v>
      </c>
      <c r="G38" s="45">
        <v>780.0</v>
      </c>
      <c r="H38" s="44">
        <v>693.0</v>
      </c>
      <c r="I38" s="44">
        <v>1875.0</v>
      </c>
      <c r="J38" s="44">
        <v>1860.0</v>
      </c>
      <c r="K38" s="44">
        <v>640.0</v>
      </c>
      <c r="L38" s="44">
        <v>1320.0</v>
      </c>
      <c r="M38" s="44">
        <v>1265.0</v>
      </c>
      <c r="N38" s="45">
        <f t="shared" si="1"/>
        <v>28808</v>
      </c>
      <c r="O38" s="58">
        <f t="shared" si="2"/>
        <v>2400.666667</v>
      </c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22.5" customHeight="1">
      <c r="A39" s="12">
        <v>45754.0</v>
      </c>
      <c r="B39" s="59">
        <v>2910.0</v>
      </c>
      <c r="C39" s="44">
        <v>966.0</v>
      </c>
      <c r="D39" s="44">
        <v>2486.0</v>
      </c>
      <c r="E39" s="45">
        <v>2244.0</v>
      </c>
      <c r="F39" s="44">
        <v>1767.0</v>
      </c>
      <c r="G39" s="45">
        <v>660.0</v>
      </c>
      <c r="H39" s="44">
        <v>924.0</v>
      </c>
      <c r="I39" s="44">
        <v>1250.0</v>
      </c>
      <c r="J39" s="44">
        <v>2170.0</v>
      </c>
      <c r="K39" s="44">
        <v>440.0</v>
      </c>
      <c r="L39" s="44">
        <v>1080.0</v>
      </c>
      <c r="M39" s="44">
        <v>1035.0</v>
      </c>
      <c r="N39" s="45">
        <f t="shared" si="1"/>
        <v>17932</v>
      </c>
      <c r="O39" s="58">
        <f t="shared" si="2"/>
        <v>1494.333333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22.5" customHeight="1">
      <c r="A40" s="12">
        <v>45755.0</v>
      </c>
      <c r="B40" s="59">
        <v>2037.0</v>
      </c>
      <c r="C40" s="44">
        <v>756.0</v>
      </c>
      <c r="D40" s="44">
        <v>4633.0</v>
      </c>
      <c r="E40" s="45">
        <v>1683.0</v>
      </c>
      <c r="F40" s="44">
        <v>2793.0</v>
      </c>
      <c r="G40" s="45">
        <v>870.0</v>
      </c>
      <c r="H40" s="44">
        <v>1456.0</v>
      </c>
      <c r="I40" s="44">
        <v>2500.0</v>
      </c>
      <c r="J40" s="44">
        <v>2480.0</v>
      </c>
      <c r="K40" s="44">
        <v>680.0</v>
      </c>
      <c r="L40" s="44">
        <v>480.0</v>
      </c>
      <c r="M40" s="44">
        <v>460.0</v>
      </c>
      <c r="N40" s="45">
        <f t="shared" si="1"/>
        <v>20828</v>
      </c>
      <c r="O40" s="58">
        <f t="shared" si="2"/>
        <v>1735.666667</v>
      </c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22.5" customHeight="1">
      <c r="A41" s="12">
        <v>45756.0</v>
      </c>
      <c r="B41" s="59">
        <v>3249.5</v>
      </c>
      <c r="C41" s="44">
        <v>1470.0</v>
      </c>
      <c r="D41" s="44">
        <v>6780.0</v>
      </c>
      <c r="E41" s="45">
        <v>1221.0</v>
      </c>
      <c r="F41" s="44">
        <v>3249.0</v>
      </c>
      <c r="G41" s="45">
        <v>510.0</v>
      </c>
      <c r="H41" s="44">
        <v>1568.0</v>
      </c>
      <c r="I41" s="44">
        <v>3125.0</v>
      </c>
      <c r="J41" s="44">
        <v>1240.0</v>
      </c>
      <c r="K41" s="44">
        <v>440.0</v>
      </c>
      <c r="L41" s="44">
        <v>720.0</v>
      </c>
      <c r="M41" s="44">
        <v>690.0</v>
      </c>
      <c r="N41" s="45">
        <f t="shared" si="1"/>
        <v>24262.5</v>
      </c>
      <c r="O41" s="58">
        <f t="shared" si="2"/>
        <v>2021.875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22.5" customHeight="1">
      <c r="A42" s="12">
        <v>45757.0</v>
      </c>
      <c r="B42" s="59">
        <v>3346.5</v>
      </c>
      <c r="C42" s="44">
        <v>2268.0</v>
      </c>
      <c r="D42" s="44">
        <v>2260.0</v>
      </c>
      <c r="E42" s="45">
        <v>2346.0</v>
      </c>
      <c r="F42" s="44">
        <v>2622.0</v>
      </c>
      <c r="G42" s="45">
        <v>840.0</v>
      </c>
      <c r="H42" s="44">
        <v>1232.0</v>
      </c>
      <c r="I42" s="44">
        <v>1250.0</v>
      </c>
      <c r="J42" s="44">
        <v>2480.0</v>
      </c>
      <c r="K42" s="44">
        <v>680.0</v>
      </c>
      <c r="L42" s="44">
        <v>1320.0</v>
      </c>
      <c r="M42" s="44">
        <v>1265.0</v>
      </c>
      <c r="N42" s="45">
        <f t="shared" si="1"/>
        <v>21909.5</v>
      </c>
      <c r="O42" s="58">
        <f t="shared" si="2"/>
        <v>1825.791667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22.5" customHeight="1">
      <c r="A43" s="12">
        <v>45758.0</v>
      </c>
      <c r="B43" s="59">
        <v>1455.0</v>
      </c>
      <c r="C43" s="44">
        <v>966.0</v>
      </c>
      <c r="D43" s="44">
        <v>4633.0</v>
      </c>
      <c r="E43" s="45">
        <v>3026.0</v>
      </c>
      <c r="F43" s="44">
        <v>2109.0</v>
      </c>
      <c r="G43" s="45">
        <v>930.0</v>
      </c>
      <c r="H43" s="44">
        <v>784.0</v>
      </c>
      <c r="I43" s="44">
        <v>0.0</v>
      </c>
      <c r="J43" s="44">
        <v>3720.0</v>
      </c>
      <c r="K43" s="44">
        <v>600.0</v>
      </c>
      <c r="L43" s="44">
        <v>480.0</v>
      </c>
      <c r="M43" s="44">
        <v>460.0</v>
      </c>
      <c r="N43" s="45">
        <f t="shared" si="1"/>
        <v>19163</v>
      </c>
      <c r="O43" s="58">
        <f t="shared" si="2"/>
        <v>1596.916667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22.5" customHeight="1">
      <c r="A44" s="12">
        <v>45759.0</v>
      </c>
      <c r="B44" s="59">
        <v>2182.5</v>
      </c>
      <c r="C44" s="44">
        <v>2688.0</v>
      </c>
      <c r="D44" s="44">
        <v>2373.0</v>
      </c>
      <c r="E44" s="45">
        <v>816.0</v>
      </c>
      <c r="F44" s="44">
        <v>3306.0</v>
      </c>
      <c r="G44" s="45">
        <v>540.0</v>
      </c>
      <c r="H44" s="44">
        <v>1232.0</v>
      </c>
      <c r="I44" s="44">
        <v>1875.0</v>
      </c>
      <c r="J44" s="44">
        <v>3720.0</v>
      </c>
      <c r="K44" s="44">
        <v>400.0</v>
      </c>
      <c r="L44" s="44">
        <v>1440.0</v>
      </c>
      <c r="M44" s="44">
        <v>1380.0</v>
      </c>
      <c r="N44" s="45">
        <f t="shared" si="1"/>
        <v>21952.5</v>
      </c>
      <c r="O44" s="58">
        <f t="shared" si="2"/>
        <v>1829.375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22.5" customHeight="1">
      <c r="A45" s="12">
        <v>45760.0</v>
      </c>
      <c r="B45" s="59">
        <v>873.0</v>
      </c>
      <c r="C45" s="44">
        <v>2184.0</v>
      </c>
      <c r="D45" s="44">
        <v>4294.0</v>
      </c>
      <c r="E45" s="45">
        <v>2414.0</v>
      </c>
      <c r="F45" s="44">
        <v>2451.0</v>
      </c>
      <c r="G45" s="45">
        <v>960.0</v>
      </c>
      <c r="H45" s="44">
        <v>1568.0</v>
      </c>
      <c r="I45" s="44">
        <v>1250.0</v>
      </c>
      <c r="J45" s="44">
        <v>5270.0</v>
      </c>
      <c r="K45" s="44">
        <v>600.0</v>
      </c>
      <c r="L45" s="44">
        <v>1320.0</v>
      </c>
      <c r="M45" s="44">
        <v>1265.0</v>
      </c>
      <c r="N45" s="45">
        <f t="shared" si="1"/>
        <v>24449</v>
      </c>
      <c r="O45" s="58">
        <f t="shared" si="2"/>
        <v>2037.416667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22.5" customHeight="1">
      <c r="A46" s="12">
        <v>45761.0</v>
      </c>
      <c r="B46" s="57">
        <v>1067.0</v>
      </c>
      <c r="C46" s="44">
        <v>1470.0</v>
      </c>
      <c r="D46" s="44">
        <v>3277.0</v>
      </c>
      <c r="E46" s="45">
        <v>2414.0</v>
      </c>
      <c r="F46" s="44">
        <v>2622.0</v>
      </c>
      <c r="G46" s="45">
        <v>660.0</v>
      </c>
      <c r="H46" s="44">
        <v>784.0</v>
      </c>
      <c r="I46" s="44">
        <v>1875.0</v>
      </c>
      <c r="J46" s="44">
        <v>3100.0</v>
      </c>
      <c r="K46" s="44">
        <v>640.0</v>
      </c>
      <c r="L46" s="44">
        <v>1440.0</v>
      </c>
      <c r="M46" s="44">
        <v>1380.0</v>
      </c>
      <c r="N46" s="45">
        <f t="shared" si="1"/>
        <v>20729</v>
      </c>
      <c r="O46" s="58">
        <f t="shared" si="2"/>
        <v>1727.416667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ht="22.5" customHeight="1">
      <c r="A47" s="12">
        <v>45762.0</v>
      </c>
      <c r="B47" s="57">
        <v>2813.0</v>
      </c>
      <c r="C47" s="44">
        <v>3822.0</v>
      </c>
      <c r="D47" s="44">
        <v>5876.0</v>
      </c>
      <c r="E47" s="45">
        <v>1904.0</v>
      </c>
      <c r="F47" s="44">
        <v>3420.0</v>
      </c>
      <c r="G47" s="45">
        <v>540.0</v>
      </c>
      <c r="H47" s="44">
        <v>560.0</v>
      </c>
      <c r="I47" s="44">
        <v>4375.0</v>
      </c>
      <c r="J47" s="44">
        <v>1240.0</v>
      </c>
      <c r="K47" s="44">
        <v>480.0</v>
      </c>
      <c r="L47" s="44">
        <v>840.0</v>
      </c>
      <c r="M47" s="44">
        <v>805.0</v>
      </c>
      <c r="N47" s="45">
        <f t="shared" si="1"/>
        <v>26675</v>
      </c>
      <c r="O47" s="58">
        <f t="shared" si="2"/>
        <v>2222.916667</v>
      </c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ht="22.5" customHeight="1">
      <c r="A48" s="12">
        <v>45763.0</v>
      </c>
      <c r="B48" s="57">
        <v>2376.5</v>
      </c>
      <c r="C48" s="44">
        <v>2982.0</v>
      </c>
      <c r="D48" s="44">
        <v>3277.0</v>
      </c>
      <c r="E48" s="45">
        <v>2414.0</v>
      </c>
      <c r="F48" s="44">
        <v>1881.0</v>
      </c>
      <c r="G48" s="45">
        <v>480.0</v>
      </c>
      <c r="H48" s="44">
        <v>1008.0</v>
      </c>
      <c r="I48" s="44">
        <v>5000.0</v>
      </c>
      <c r="J48" s="44">
        <v>1860.0</v>
      </c>
      <c r="K48" s="44">
        <v>600.0</v>
      </c>
      <c r="L48" s="44">
        <v>480.0</v>
      </c>
      <c r="M48" s="44">
        <v>460.0</v>
      </c>
      <c r="N48" s="45">
        <f t="shared" si="1"/>
        <v>22818.5</v>
      </c>
      <c r="O48" s="58">
        <f t="shared" si="2"/>
        <v>1901.541667</v>
      </c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ht="22.5" customHeight="1">
      <c r="A49" s="12">
        <v>45764.0</v>
      </c>
      <c r="B49" s="57">
        <v>1406.5</v>
      </c>
      <c r="C49" s="44">
        <v>1344.0</v>
      </c>
      <c r="D49" s="44">
        <v>8023.0</v>
      </c>
      <c r="E49" s="45">
        <v>2040.0</v>
      </c>
      <c r="F49" s="44">
        <v>1767.0</v>
      </c>
      <c r="G49" s="45">
        <v>600.0</v>
      </c>
      <c r="H49" s="44">
        <v>1344.0</v>
      </c>
      <c r="I49" s="44">
        <v>2500.0</v>
      </c>
      <c r="J49" s="44">
        <v>2480.0</v>
      </c>
      <c r="K49" s="44">
        <v>920.0</v>
      </c>
      <c r="L49" s="44">
        <v>720.0</v>
      </c>
      <c r="M49" s="44">
        <v>690.0</v>
      </c>
      <c r="N49" s="45">
        <f t="shared" si="1"/>
        <v>23834.5</v>
      </c>
      <c r="O49" s="58">
        <f t="shared" si="2"/>
        <v>1986.208333</v>
      </c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22.5" customHeight="1">
      <c r="A50" s="12">
        <v>45765.0</v>
      </c>
      <c r="B50" s="57">
        <v>1503.5</v>
      </c>
      <c r="C50" s="44">
        <v>2478.0</v>
      </c>
      <c r="D50" s="44">
        <v>5085.0</v>
      </c>
      <c r="E50" s="45">
        <v>1870.0</v>
      </c>
      <c r="F50" s="44">
        <v>1995.0</v>
      </c>
      <c r="G50" s="45">
        <v>720.0</v>
      </c>
      <c r="H50" s="44">
        <v>2016.0</v>
      </c>
      <c r="I50" s="44">
        <v>4687.5</v>
      </c>
      <c r="J50" s="44">
        <v>620.0</v>
      </c>
      <c r="K50" s="44">
        <v>680.0</v>
      </c>
      <c r="L50" s="44">
        <v>1080.0</v>
      </c>
      <c r="M50" s="44">
        <v>1035.0</v>
      </c>
      <c r="N50" s="45">
        <f t="shared" si="1"/>
        <v>23770</v>
      </c>
      <c r="O50" s="58">
        <f t="shared" si="2"/>
        <v>1980.833333</v>
      </c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ht="22.5" customHeight="1">
      <c r="A51" s="12">
        <v>45766.0</v>
      </c>
      <c r="B51" s="57">
        <v>1309.5</v>
      </c>
      <c r="C51" s="44">
        <v>2478.0</v>
      </c>
      <c r="D51" s="44">
        <v>4633.0</v>
      </c>
      <c r="E51" s="45">
        <v>2176.0</v>
      </c>
      <c r="F51" s="44">
        <v>1881.0</v>
      </c>
      <c r="G51" s="45">
        <v>540.0</v>
      </c>
      <c r="H51" s="44">
        <v>784.0</v>
      </c>
      <c r="I51" s="44">
        <v>1875.0</v>
      </c>
      <c r="J51" s="44">
        <v>1240.0</v>
      </c>
      <c r="K51" s="44">
        <v>720.0</v>
      </c>
      <c r="L51" s="44">
        <v>1200.0</v>
      </c>
      <c r="M51" s="44">
        <v>1150.0</v>
      </c>
      <c r="N51" s="45">
        <f t="shared" si="1"/>
        <v>19986.5</v>
      </c>
      <c r="O51" s="58">
        <f t="shared" si="2"/>
        <v>1665.541667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22.5" customHeight="1">
      <c r="A52" s="12">
        <v>45767.0</v>
      </c>
      <c r="B52" s="57">
        <v>3007.0</v>
      </c>
      <c r="C52" s="44">
        <v>1722.0</v>
      </c>
      <c r="D52" s="44">
        <v>2147.0</v>
      </c>
      <c r="E52" s="45">
        <v>2482.0</v>
      </c>
      <c r="F52" s="44">
        <v>2166.0</v>
      </c>
      <c r="G52" s="45">
        <v>960.0</v>
      </c>
      <c r="H52" s="44">
        <v>672.0</v>
      </c>
      <c r="I52" s="44">
        <v>3125.0</v>
      </c>
      <c r="J52" s="44">
        <v>1860.0</v>
      </c>
      <c r="K52" s="44">
        <v>760.0</v>
      </c>
      <c r="L52" s="44">
        <v>600.0</v>
      </c>
      <c r="M52" s="44">
        <v>575.0</v>
      </c>
      <c r="N52" s="45">
        <f t="shared" si="1"/>
        <v>20076</v>
      </c>
      <c r="O52" s="58">
        <f t="shared" si="2"/>
        <v>1673</v>
      </c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22.5" customHeight="1">
      <c r="A53" s="12">
        <v>45768.0</v>
      </c>
      <c r="B53" s="57">
        <v>2231.0</v>
      </c>
      <c r="C53" s="44">
        <v>2016.0</v>
      </c>
      <c r="D53" s="44">
        <v>2825.0</v>
      </c>
      <c r="E53" s="45">
        <v>408.0</v>
      </c>
      <c r="F53" s="44">
        <v>2679.0</v>
      </c>
      <c r="G53" s="45">
        <v>780.0</v>
      </c>
      <c r="H53" s="44">
        <v>1456.0</v>
      </c>
      <c r="I53" s="44">
        <v>1250.0</v>
      </c>
      <c r="J53" s="44">
        <v>2480.0</v>
      </c>
      <c r="K53" s="44">
        <v>1000.0</v>
      </c>
      <c r="L53" s="44">
        <v>360.0</v>
      </c>
      <c r="M53" s="44">
        <v>345.0</v>
      </c>
      <c r="N53" s="45">
        <f t="shared" si="1"/>
        <v>17830</v>
      </c>
      <c r="O53" s="58">
        <f t="shared" si="2"/>
        <v>1485.833333</v>
      </c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ht="22.5" customHeight="1">
      <c r="A54" s="12">
        <v>45769.0</v>
      </c>
      <c r="B54" s="57">
        <v>1115.5</v>
      </c>
      <c r="C54" s="44">
        <v>3906.0</v>
      </c>
      <c r="D54" s="44">
        <v>3955.0</v>
      </c>
      <c r="E54" s="45">
        <v>2040.0</v>
      </c>
      <c r="F54" s="44">
        <v>3135.0</v>
      </c>
      <c r="G54" s="45">
        <v>480.0</v>
      </c>
      <c r="H54" s="44">
        <v>1008.0</v>
      </c>
      <c r="I54" s="44">
        <v>3125.0</v>
      </c>
      <c r="J54" s="44">
        <v>3720.0</v>
      </c>
      <c r="K54" s="44">
        <v>1000.0</v>
      </c>
      <c r="L54" s="44">
        <v>720.0</v>
      </c>
      <c r="M54" s="44">
        <v>690.0</v>
      </c>
      <c r="N54" s="45">
        <f t="shared" si="1"/>
        <v>24894.5</v>
      </c>
      <c r="O54" s="58">
        <f t="shared" si="2"/>
        <v>2074.541667</v>
      </c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22.5" customHeight="1">
      <c r="A55" s="12">
        <v>45770.0</v>
      </c>
      <c r="B55" s="57">
        <v>1697.5</v>
      </c>
      <c r="C55" s="44">
        <v>1008.0</v>
      </c>
      <c r="D55" s="44">
        <v>4859.0</v>
      </c>
      <c r="E55" s="45">
        <v>2040.0</v>
      </c>
      <c r="F55" s="44">
        <v>2337.0</v>
      </c>
      <c r="G55" s="45">
        <v>720.0</v>
      </c>
      <c r="H55" s="44">
        <v>1232.0</v>
      </c>
      <c r="I55" s="44">
        <v>1875.0</v>
      </c>
      <c r="J55" s="44">
        <v>3720.0</v>
      </c>
      <c r="K55" s="44">
        <v>600.0</v>
      </c>
      <c r="L55" s="44">
        <v>480.0</v>
      </c>
      <c r="M55" s="44">
        <v>460.0</v>
      </c>
      <c r="N55" s="45">
        <f t="shared" si="1"/>
        <v>21028.5</v>
      </c>
      <c r="O55" s="58">
        <f t="shared" si="2"/>
        <v>1752.375</v>
      </c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22.5" customHeight="1">
      <c r="A56" s="12">
        <v>45771.0</v>
      </c>
      <c r="B56" s="57">
        <v>2473.5</v>
      </c>
      <c r="C56" s="44">
        <v>1134.0</v>
      </c>
      <c r="D56" s="44">
        <v>4068.0</v>
      </c>
      <c r="E56" s="45">
        <v>544.0</v>
      </c>
      <c r="F56" s="44">
        <v>2223.0</v>
      </c>
      <c r="G56" s="45">
        <v>540.0</v>
      </c>
      <c r="H56" s="44">
        <v>560.0</v>
      </c>
      <c r="I56" s="44">
        <v>625.0</v>
      </c>
      <c r="J56" s="44">
        <v>3100.0</v>
      </c>
      <c r="K56" s="44">
        <v>800.0</v>
      </c>
      <c r="L56" s="44">
        <v>1200.0</v>
      </c>
      <c r="M56" s="44">
        <v>1150.0</v>
      </c>
      <c r="N56" s="45">
        <f t="shared" si="1"/>
        <v>18417.5</v>
      </c>
      <c r="O56" s="58">
        <f t="shared" si="2"/>
        <v>1534.791667</v>
      </c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ht="22.5" customHeight="1">
      <c r="A57" s="12">
        <v>45772.0</v>
      </c>
      <c r="B57" s="57">
        <v>1891.5</v>
      </c>
      <c r="C57" s="44">
        <v>1302.0</v>
      </c>
      <c r="D57" s="44">
        <v>3277.0</v>
      </c>
      <c r="E57" s="45">
        <v>1020.0</v>
      </c>
      <c r="F57" s="44">
        <v>2565.0</v>
      </c>
      <c r="G57" s="45">
        <v>840.0</v>
      </c>
      <c r="H57" s="44">
        <v>560.0</v>
      </c>
      <c r="I57" s="44">
        <v>2500.0</v>
      </c>
      <c r="J57" s="44">
        <v>1240.0</v>
      </c>
      <c r="K57" s="44">
        <v>560.0</v>
      </c>
      <c r="L57" s="44">
        <v>720.0</v>
      </c>
      <c r="M57" s="44">
        <v>690.0</v>
      </c>
      <c r="N57" s="45">
        <f t="shared" si="1"/>
        <v>17165.5</v>
      </c>
      <c r="O57" s="58">
        <f t="shared" si="2"/>
        <v>1430.458333</v>
      </c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ht="22.5" customHeight="1">
      <c r="A58" s="12">
        <v>45773.0</v>
      </c>
      <c r="B58" s="57">
        <v>1891.5</v>
      </c>
      <c r="C58" s="44">
        <v>1638.0</v>
      </c>
      <c r="D58" s="44">
        <v>9718.0</v>
      </c>
      <c r="E58" s="45">
        <v>2788.0</v>
      </c>
      <c r="F58" s="44">
        <v>2451.0</v>
      </c>
      <c r="G58" s="45">
        <v>900.0</v>
      </c>
      <c r="H58" s="44">
        <v>1008.0</v>
      </c>
      <c r="I58" s="44">
        <v>3750.0</v>
      </c>
      <c r="J58" s="44">
        <v>1860.0</v>
      </c>
      <c r="K58" s="44">
        <v>720.0</v>
      </c>
      <c r="L58" s="44">
        <v>480.0</v>
      </c>
      <c r="M58" s="44">
        <v>460.0</v>
      </c>
      <c r="N58" s="45">
        <f t="shared" si="1"/>
        <v>27664.5</v>
      </c>
      <c r="O58" s="58">
        <f t="shared" si="2"/>
        <v>2305.375</v>
      </c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ht="22.5" customHeight="1">
      <c r="A59" s="12">
        <v>45774.0</v>
      </c>
      <c r="B59" s="57">
        <v>1940.0</v>
      </c>
      <c r="C59" s="44">
        <v>1428.0</v>
      </c>
      <c r="D59" s="44">
        <v>4181.0</v>
      </c>
      <c r="E59" s="45">
        <v>1632.0</v>
      </c>
      <c r="F59" s="44">
        <v>3420.0</v>
      </c>
      <c r="G59" s="45">
        <v>870.0</v>
      </c>
      <c r="H59" s="44">
        <v>1792.0</v>
      </c>
      <c r="I59" s="44">
        <v>1875.0</v>
      </c>
      <c r="J59" s="44">
        <v>4340.0</v>
      </c>
      <c r="K59" s="44">
        <v>600.0</v>
      </c>
      <c r="L59" s="44">
        <v>960.0</v>
      </c>
      <c r="M59" s="44">
        <v>920.0</v>
      </c>
      <c r="N59" s="45">
        <f t="shared" si="1"/>
        <v>23958</v>
      </c>
      <c r="O59" s="58">
        <f t="shared" si="2"/>
        <v>1996.5</v>
      </c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ht="22.5" customHeight="1">
      <c r="A60" s="12">
        <v>45775.0</v>
      </c>
      <c r="B60" s="59">
        <v>2716.0</v>
      </c>
      <c r="C60" s="44">
        <v>924.0</v>
      </c>
      <c r="D60" s="44">
        <v>3503.0</v>
      </c>
      <c r="E60" s="45">
        <v>918.0</v>
      </c>
      <c r="F60" s="44">
        <v>2793.0</v>
      </c>
      <c r="G60" s="45">
        <v>660.0</v>
      </c>
      <c r="H60" s="44">
        <v>784.0</v>
      </c>
      <c r="I60" s="44">
        <v>1250.0</v>
      </c>
      <c r="J60" s="44">
        <v>2480.0</v>
      </c>
      <c r="K60" s="44">
        <v>440.0</v>
      </c>
      <c r="L60" s="44">
        <v>960.0</v>
      </c>
      <c r="M60" s="44">
        <v>920.0</v>
      </c>
      <c r="N60" s="45">
        <f t="shared" si="1"/>
        <v>18348</v>
      </c>
      <c r="O60" s="58">
        <f t="shared" si="2"/>
        <v>1529</v>
      </c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22.5" customHeight="1">
      <c r="A61" s="12">
        <v>45776.0</v>
      </c>
      <c r="B61" s="59">
        <v>3540.5</v>
      </c>
      <c r="C61" s="44">
        <v>1260.0</v>
      </c>
      <c r="D61" s="44">
        <v>2486.0</v>
      </c>
      <c r="E61" s="45">
        <v>442.0</v>
      </c>
      <c r="F61" s="44">
        <v>2850.0</v>
      </c>
      <c r="G61" s="45">
        <v>840.0</v>
      </c>
      <c r="H61" s="44">
        <v>784.0</v>
      </c>
      <c r="I61" s="44">
        <v>2500.0</v>
      </c>
      <c r="J61" s="44">
        <v>3100.0</v>
      </c>
      <c r="K61" s="44">
        <v>360.0</v>
      </c>
      <c r="L61" s="44">
        <v>1440.0</v>
      </c>
      <c r="M61" s="44">
        <v>1380.0</v>
      </c>
      <c r="N61" s="45">
        <f t="shared" si="1"/>
        <v>20982.5</v>
      </c>
      <c r="O61" s="58">
        <f t="shared" si="2"/>
        <v>1748.541667</v>
      </c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22.5" customHeight="1">
      <c r="A62" s="12">
        <v>45777.0</v>
      </c>
      <c r="B62" s="59">
        <v>3298.0</v>
      </c>
      <c r="C62" s="44">
        <v>3276.0</v>
      </c>
      <c r="D62" s="44">
        <v>7119.0</v>
      </c>
      <c r="E62" s="45">
        <v>3332.0</v>
      </c>
      <c r="F62" s="44">
        <v>2451.0</v>
      </c>
      <c r="G62" s="45">
        <v>660.0</v>
      </c>
      <c r="H62" s="44">
        <v>1120.0</v>
      </c>
      <c r="I62" s="44">
        <v>1875.0</v>
      </c>
      <c r="J62" s="44">
        <v>1240.0</v>
      </c>
      <c r="K62" s="44">
        <v>480.0</v>
      </c>
      <c r="L62" s="44">
        <v>720.0</v>
      </c>
      <c r="M62" s="44">
        <v>690.0</v>
      </c>
      <c r="N62" s="45">
        <f t="shared" si="1"/>
        <v>26261</v>
      </c>
      <c r="O62" s="58">
        <f t="shared" si="2"/>
        <v>2188.416667</v>
      </c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ht="22.5" customHeight="1">
      <c r="A63" s="24"/>
      <c r="B63" s="47">
        <f t="shared" ref="B63:O63" si="3">SUM(B2:B62)</f>
        <v>137449</v>
      </c>
      <c r="C63" s="47">
        <f t="shared" si="3"/>
        <v>119867</v>
      </c>
      <c r="D63" s="47">
        <f t="shared" si="3"/>
        <v>317928</v>
      </c>
      <c r="E63" s="47">
        <f t="shared" si="3"/>
        <v>111546.5</v>
      </c>
      <c r="F63" s="47">
        <f t="shared" si="3"/>
        <v>148086</v>
      </c>
      <c r="G63" s="47">
        <f t="shared" si="3"/>
        <v>43050</v>
      </c>
      <c r="H63" s="47">
        <f t="shared" si="3"/>
        <v>68159</v>
      </c>
      <c r="I63" s="47">
        <f t="shared" si="3"/>
        <v>121712.5</v>
      </c>
      <c r="J63" s="47">
        <f t="shared" si="3"/>
        <v>117180</v>
      </c>
      <c r="K63" s="47">
        <f t="shared" si="3"/>
        <v>47480</v>
      </c>
      <c r="L63" s="47">
        <f t="shared" si="3"/>
        <v>57190</v>
      </c>
      <c r="M63" s="47">
        <f t="shared" si="3"/>
        <v>53360</v>
      </c>
      <c r="N63" s="48">
        <f t="shared" si="3"/>
        <v>1343008</v>
      </c>
      <c r="O63" s="60">
        <f t="shared" si="3"/>
        <v>111917.3333</v>
      </c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ht="22.5" customHeight="1">
      <c r="A64" s="61"/>
      <c r="B64" s="62" t="s">
        <v>27</v>
      </c>
      <c r="C64" s="62" t="s">
        <v>28</v>
      </c>
      <c r="D64" s="62" t="s">
        <v>29</v>
      </c>
      <c r="E64" s="62" t="s">
        <v>30</v>
      </c>
      <c r="F64" s="63" t="s">
        <v>31</v>
      </c>
      <c r="G64" s="62" t="s">
        <v>32</v>
      </c>
      <c r="H64" s="62" t="s">
        <v>33</v>
      </c>
      <c r="I64" s="63" t="s">
        <v>34</v>
      </c>
      <c r="J64" s="62" t="s">
        <v>35</v>
      </c>
      <c r="K64" s="62" t="s">
        <v>36</v>
      </c>
      <c r="L64" s="63" t="s">
        <v>37</v>
      </c>
      <c r="M64" s="63" t="s">
        <v>38</v>
      </c>
      <c r="N64" s="64" t="s">
        <v>52</v>
      </c>
      <c r="O64" s="64" t="s">
        <v>54</v>
      </c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52" t="s">
        <v>46</v>
      </c>
      <c r="D67" s="52" t="s">
        <v>55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65" t="s">
        <v>27</v>
      </c>
      <c r="D68" s="66">
        <v>137449.0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65" t="s">
        <v>48</v>
      </c>
      <c r="D69" s="66">
        <v>119867.0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65" t="s">
        <v>29</v>
      </c>
      <c r="D70" s="66">
        <v>317928.0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65" t="s">
        <v>51</v>
      </c>
      <c r="D71" s="66">
        <v>111546.5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65" t="s">
        <v>31</v>
      </c>
      <c r="D72" s="66">
        <v>148086.0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65" t="s">
        <v>34</v>
      </c>
      <c r="D73" s="66">
        <v>121712.5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65" t="s">
        <v>35</v>
      </c>
      <c r="D74" s="66">
        <v>117180.0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65" t="s">
        <v>36</v>
      </c>
      <c r="D75" s="66">
        <v>47480.0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65" t="s">
        <v>32</v>
      </c>
      <c r="D76" s="66">
        <v>43050.0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65" t="s">
        <v>37</v>
      </c>
      <c r="D77" s="66">
        <v>57190.0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65" t="s">
        <v>33</v>
      </c>
      <c r="D78" s="66">
        <v>68159.0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65" t="s">
        <v>38</v>
      </c>
      <c r="D79" s="66">
        <v>53360.0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1"/>
      <c r="D87" s="11"/>
      <c r="E87" s="11"/>
      <c r="F87" s="55"/>
      <c r="G87" s="55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1"/>
      <c r="D88" s="11"/>
      <c r="E88" s="11"/>
      <c r="F88" s="55"/>
      <c r="G88" s="55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1"/>
      <c r="D89" s="11"/>
      <c r="E89" s="11"/>
      <c r="F89" s="55"/>
      <c r="G89" s="55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1"/>
      <c r="D90" s="11"/>
      <c r="E90" s="11"/>
      <c r="F90" s="55"/>
      <c r="G90" s="55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1"/>
      <c r="D91" s="11"/>
      <c r="E91" s="11"/>
      <c r="F91" s="55"/>
      <c r="G91" s="55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1"/>
      <c r="D92" s="11"/>
      <c r="E92" s="11"/>
      <c r="F92" s="55"/>
      <c r="G92" s="55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1"/>
      <c r="D93" s="11"/>
      <c r="E93" s="11"/>
      <c r="F93" s="55"/>
      <c r="G93" s="55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1"/>
      <c r="D94" s="11"/>
      <c r="E94" s="11"/>
      <c r="F94" s="55"/>
      <c r="G94" s="55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1"/>
      <c r="D95" s="11"/>
      <c r="E95" s="11"/>
      <c r="F95" s="55"/>
      <c r="G95" s="55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1"/>
      <c r="D96" s="11"/>
      <c r="E96" s="11"/>
      <c r="F96" s="55"/>
      <c r="G96" s="55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1"/>
      <c r="D97" s="11"/>
      <c r="E97" s="11"/>
      <c r="F97" s="55"/>
      <c r="G97" s="55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1"/>
      <c r="D98" s="11"/>
      <c r="E98" s="11"/>
      <c r="F98" s="55"/>
      <c r="G98" s="55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</sheetData>
  <dataValidations>
    <dataValidation type="custom" allowBlank="1" showDropDown="1" sqref="A2:A64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4.13"/>
    <col customWidth="1" min="3" max="3" width="13.5"/>
    <col customWidth="1" min="4" max="4" width="18.0"/>
    <col customWidth="1" min="5" max="5" width="19.0"/>
    <col customWidth="1" min="6" max="6" width="18.38"/>
    <col customWidth="1" min="7" max="7" width="23.63"/>
    <col customWidth="1" min="8" max="8" width="23.38"/>
    <col customWidth="1" min="9" max="9" width="15.63"/>
    <col customWidth="1" min="10" max="10" width="17.0"/>
    <col customWidth="1" min="11" max="11" width="17.63"/>
    <col customWidth="1" min="12" max="12" width="20.0"/>
    <col customWidth="1" min="13" max="13" width="17.38"/>
    <col customWidth="1" min="14" max="14" width="19.13"/>
    <col customWidth="1" min="16" max="16" width="14.75"/>
    <col customWidth="1" min="17" max="17" width="15.63"/>
    <col customWidth="1" min="19" max="19" width="14.75"/>
    <col customWidth="1" min="20" max="20" width="18.63"/>
    <col customWidth="1" min="21" max="21" width="21.75"/>
    <col customWidth="1" min="22" max="22" width="24.38"/>
    <col customWidth="1" min="28" max="28" width="23.25"/>
  </cols>
  <sheetData>
    <row r="1" ht="22.5" customHeight="1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9" t="s">
        <v>56</v>
      </c>
      <c r="O1" s="11"/>
      <c r="P1" s="11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ht="22.5" customHeight="1">
      <c r="A2" s="12">
        <v>45717.0</v>
      </c>
      <c r="B2" s="43">
        <v>391.0</v>
      </c>
      <c r="C2" s="44">
        <v>128.0</v>
      </c>
      <c r="D2" s="44">
        <v>329.0</v>
      </c>
      <c r="E2" s="45">
        <v>167.5</v>
      </c>
      <c r="F2" s="44">
        <v>93.0</v>
      </c>
      <c r="G2" s="45">
        <v>210.0</v>
      </c>
      <c r="H2" s="44">
        <v>56.0</v>
      </c>
      <c r="I2" s="44">
        <v>250.0</v>
      </c>
      <c r="J2" s="44">
        <v>360.0</v>
      </c>
      <c r="K2" s="44">
        <v>320.0</v>
      </c>
      <c r="L2" s="44">
        <v>418.0</v>
      </c>
      <c r="M2" s="44">
        <v>135.0</v>
      </c>
      <c r="N2" s="45">
        <f t="shared" ref="N2:N62" si="1">SUM(B2:M2)</f>
        <v>2857.5</v>
      </c>
      <c r="O2" s="11"/>
      <c r="P2" s="53"/>
      <c r="Q2" s="55"/>
      <c r="R2" s="67" t="s">
        <v>27</v>
      </c>
      <c r="S2" s="67" t="s">
        <v>28</v>
      </c>
      <c r="T2" s="67" t="s">
        <v>29</v>
      </c>
      <c r="U2" s="67" t="s">
        <v>30</v>
      </c>
      <c r="V2" s="68" t="s">
        <v>31</v>
      </c>
      <c r="W2" s="67" t="s">
        <v>32</v>
      </c>
      <c r="X2" s="67" t="s">
        <v>33</v>
      </c>
      <c r="Y2" s="68" t="s">
        <v>34</v>
      </c>
      <c r="Z2" s="69" t="s">
        <v>35</v>
      </c>
      <c r="AA2" s="69" t="s">
        <v>36</v>
      </c>
      <c r="AB2" s="70" t="s">
        <v>37</v>
      </c>
      <c r="AC2" s="70" t="s">
        <v>38</v>
      </c>
      <c r="AD2" s="71"/>
      <c r="AE2" s="71"/>
    </row>
    <row r="3" ht="22.5" customHeight="1">
      <c r="A3" s="12">
        <v>45718.0</v>
      </c>
      <c r="B3" s="43">
        <v>885.5</v>
      </c>
      <c r="C3" s="44">
        <v>56.0</v>
      </c>
      <c r="D3" s="44">
        <v>385.0</v>
      </c>
      <c r="E3" s="45">
        <v>155.0</v>
      </c>
      <c r="F3" s="44">
        <v>87.0</v>
      </c>
      <c r="G3" s="45">
        <v>290.0</v>
      </c>
      <c r="H3" s="44">
        <v>88.0</v>
      </c>
      <c r="I3" s="44">
        <v>100.0</v>
      </c>
      <c r="J3" s="44">
        <v>540.0</v>
      </c>
      <c r="K3" s="44">
        <v>320.0</v>
      </c>
      <c r="L3" s="44">
        <v>132.0</v>
      </c>
      <c r="M3" s="44">
        <v>90.0</v>
      </c>
      <c r="N3" s="45">
        <f t="shared" si="1"/>
        <v>3128.5</v>
      </c>
      <c r="O3" s="11"/>
      <c r="P3" s="53"/>
      <c r="Q3" s="72" t="s">
        <v>57</v>
      </c>
      <c r="R3" s="73">
        <v>48.5</v>
      </c>
      <c r="S3" s="73">
        <v>42.377049180327866</v>
      </c>
      <c r="T3" s="73">
        <v>114.27868852459017</v>
      </c>
      <c r="U3" s="73">
        <v>33.13934426229508</v>
      </c>
      <c r="V3" s="74">
        <v>57.0</v>
      </c>
      <c r="W3" s="73">
        <v>30.0</v>
      </c>
      <c r="X3" s="73">
        <v>113.98360655737704</v>
      </c>
      <c r="Y3" s="74">
        <v>614.5901639344262</v>
      </c>
      <c r="Z3" s="75">
        <v>620.0</v>
      </c>
      <c r="AA3" s="75">
        <v>40.0</v>
      </c>
      <c r="AB3" s="76">
        <v>119.47540983606558</v>
      </c>
      <c r="AC3" s="76">
        <v>115.0</v>
      </c>
      <c r="AD3" s="77"/>
      <c r="AE3" s="77"/>
    </row>
    <row r="4" ht="22.5" customHeight="1">
      <c r="A4" s="12">
        <v>45719.0</v>
      </c>
      <c r="B4" s="43">
        <v>356.5</v>
      </c>
      <c r="C4" s="44">
        <v>114.0</v>
      </c>
      <c r="D4" s="44">
        <v>238.0</v>
      </c>
      <c r="E4" s="45">
        <v>110.0</v>
      </c>
      <c r="F4" s="44">
        <v>96.0</v>
      </c>
      <c r="G4" s="45">
        <v>250.0</v>
      </c>
      <c r="H4" s="44">
        <v>80.0</v>
      </c>
      <c r="I4" s="44">
        <v>150.0</v>
      </c>
      <c r="J4" s="44">
        <v>180.0</v>
      </c>
      <c r="K4" s="44">
        <v>220.0</v>
      </c>
      <c r="L4" s="44">
        <v>220.0</v>
      </c>
      <c r="M4" s="44">
        <v>150.0</v>
      </c>
      <c r="N4" s="45">
        <f t="shared" si="1"/>
        <v>2164.5</v>
      </c>
      <c r="O4" s="11"/>
      <c r="P4" s="53"/>
      <c r="Q4" s="72" t="s">
        <v>58</v>
      </c>
      <c r="R4" s="74">
        <v>60.0</v>
      </c>
      <c r="S4" s="74">
        <v>45.0</v>
      </c>
      <c r="T4" s="74">
        <v>121.0</v>
      </c>
      <c r="U4" s="74">
        <v>37.0</v>
      </c>
      <c r="V4" s="74">
        <v>60.0</v>
      </c>
      <c r="W4" s="74">
        <v>40.0</v>
      </c>
      <c r="X4" s="74">
        <v>122.0</v>
      </c>
      <c r="Y4" s="74">
        <v>676.0</v>
      </c>
      <c r="Z4" s="76">
        <v>800.0</v>
      </c>
      <c r="AA4" s="76">
        <v>50.0</v>
      </c>
      <c r="AB4" s="76">
        <v>140.0</v>
      </c>
      <c r="AC4" s="76">
        <v>130.0</v>
      </c>
      <c r="AD4" s="77"/>
      <c r="AE4" s="77"/>
    </row>
    <row r="5" ht="22.5" customHeight="1">
      <c r="A5" s="12">
        <v>45720.0</v>
      </c>
      <c r="B5" s="43">
        <v>195.5</v>
      </c>
      <c r="C5" s="44">
        <v>66.0</v>
      </c>
      <c r="D5" s="44">
        <v>273.0</v>
      </c>
      <c r="E5" s="45">
        <v>112.5</v>
      </c>
      <c r="F5" s="44">
        <v>150.0</v>
      </c>
      <c r="G5" s="45">
        <v>220.0</v>
      </c>
      <c r="H5" s="44">
        <v>40.0</v>
      </c>
      <c r="I5" s="44">
        <v>300.0</v>
      </c>
      <c r="J5" s="44">
        <v>720.0</v>
      </c>
      <c r="K5" s="44">
        <v>460.0</v>
      </c>
      <c r="L5" s="44">
        <v>264.0</v>
      </c>
      <c r="M5" s="44">
        <v>105.0</v>
      </c>
      <c r="N5" s="45">
        <f t="shared" si="1"/>
        <v>2906</v>
      </c>
      <c r="O5" s="11"/>
      <c r="P5" s="11"/>
      <c r="R5" s="65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</row>
    <row r="6" ht="22.5" customHeight="1">
      <c r="A6" s="12">
        <v>45721.0</v>
      </c>
      <c r="B6" s="43">
        <v>575.0</v>
      </c>
      <c r="C6" s="44">
        <v>68.0</v>
      </c>
      <c r="D6" s="44">
        <v>147.0</v>
      </c>
      <c r="E6" s="45">
        <v>200.0</v>
      </c>
      <c r="F6" s="44">
        <v>114.0</v>
      </c>
      <c r="G6" s="45">
        <v>210.0</v>
      </c>
      <c r="H6" s="44">
        <v>136.0</v>
      </c>
      <c r="I6" s="44">
        <v>50.0</v>
      </c>
      <c r="J6" s="44">
        <v>360.0</v>
      </c>
      <c r="K6" s="44">
        <v>340.0</v>
      </c>
      <c r="L6" s="44">
        <v>198.0</v>
      </c>
      <c r="M6" s="44">
        <v>135.0</v>
      </c>
      <c r="N6" s="45">
        <f t="shared" si="1"/>
        <v>2533</v>
      </c>
      <c r="O6" s="11"/>
      <c r="P6" s="11"/>
      <c r="Q6" s="11"/>
      <c r="R6" s="11"/>
      <c r="S6" s="11"/>
      <c r="T6" s="53" t="s">
        <v>59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ht="22.5" customHeight="1">
      <c r="A7" s="12">
        <v>45722.0</v>
      </c>
      <c r="B7" s="46">
        <v>391.0</v>
      </c>
      <c r="C7" s="44">
        <v>192.0</v>
      </c>
      <c r="D7" s="44">
        <v>294.0</v>
      </c>
      <c r="E7" s="45">
        <v>72.5</v>
      </c>
      <c r="F7" s="44">
        <v>123.0</v>
      </c>
      <c r="G7" s="45">
        <v>250.0</v>
      </c>
      <c r="H7" s="44">
        <v>48.0</v>
      </c>
      <c r="I7" s="44">
        <v>150.0</v>
      </c>
      <c r="J7" s="44">
        <v>540.0</v>
      </c>
      <c r="K7" s="44">
        <v>200.0</v>
      </c>
      <c r="L7" s="44">
        <v>264.0</v>
      </c>
      <c r="M7" s="44">
        <v>180.0</v>
      </c>
      <c r="N7" s="45">
        <f t="shared" si="1"/>
        <v>2704.5</v>
      </c>
      <c r="O7" s="11"/>
      <c r="P7" s="11"/>
      <c r="Q7" s="55"/>
      <c r="R7" s="55"/>
      <c r="S7" s="55"/>
      <c r="T7" s="55"/>
      <c r="U7" s="55"/>
      <c r="V7" s="55"/>
      <c r="W7" s="11"/>
      <c r="X7" s="11"/>
      <c r="Y7" s="11"/>
      <c r="Z7" s="11"/>
      <c r="AA7" s="11"/>
      <c r="AB7" s="11"/>
      <c r="AC7" s="11"/>
      <c r="AD7" s="11"/>
      <c r="AE7" s="11"/>
    </row>
    <row r="8" ht="22.5" customHeight="1">
      <c r="A8" s="12">
        <v>45723.0</v>
      </c>
      <c r="B8" s="43">
        <v>598.0</v>
      </c>
      <c r="C8" s="44">
        <v>74.0</v>
      </c>
      <c r="D8" s="44">
        <v>420.0</v>
      </c>
      <c r="E8" s="45">
        <v>135.0</v>
      </c>
      <c r="F8" s="44">
        <v>120.0</v>
      </c>
      <c r="G8" s="45">
        <v>250.0</v>
      </c>
      <c r="H8" s="44">
        <v>72.0</v>
      </c>
      <c r="I8" s="44">
        <v>50.0</v>
      </c>
      <c r="J8" s="44">
        <v>540.0</v>
      </c>
      <c r="K8" s="44">
        <v>310.0</v>
      </c>
      <c r="L8" s="44">
        <v>110.0</v>
      </c>
      <c r="M8" s="44">
        <v>75.0</v>
      </c>
      <c r="N8" s="45">
        <f t="shared" si="1"/>
        <v>2754</v>
      </c>
      <c r="O8" s="11"/>
      <c r="P8" s="11"/>
      <c r="Q8" s="55"/>
      <c r="R8" s="55"/>
      <c r="S8" s="55"/>
      <c r="T8" s="55"/>
      <c r="U8" s="55"/>
      <c r="V8" s="55"/>
      <c r="W8" s="11"/>
      <c r="X8" s="11"/>
      <c r="Y8" s="11"/>
      <c r="Z8" s="11"/>
      <c r="AA8" s="11"/>
      <c r="AB8" s="11"/>
      <c r="AC8" s="11"/>
      <c r="AD8" s="11"/>
      <c r="AE8" s="11"/>
    </row>
    <row r="9" ht="22.5" customHeight="1">
      <c r="A9" s="12">
        <v>45724.0</v>
      </c>
      <c r="B9" s="43">
        <v>253.0</v>
      </c>
      <c r="C9" s="44">
        <v>56.0</v>
      </c>
      <c r="D9" s="44">
        <v>658.0</v>
      </c>
      <c r="E9" s="45">
        <v>40.0</v>
      </c>
      <c r="F9" s="44">
        <v>87.0</v>
      </c>
      <c r="G9" s="45">
        <v>180.0</v>
      </c>
      <c r="H9" s="44">
        <v>96.0</v>
      </c>
      <c r="I9" s="44">
        <v>100.0</v>
      </c>
      <c r="J9" s="44">
        <v>0.0</v>
      </c>
      <c r="K9" s="44">
        <v>450.0</v>
      </c>
      <c r="L9" s="44">
        <v>198.0</v>
      </c>
      <c r="M9" s="44">
        <v>135.0</v>
      </c>
      <c r="N9" s="45">
        <f t="shared" si="1"/>
        <v>2253</v>
      </c>
      <c r="O9" s="11"/>
      <c r="P9" s="11"/>
      <c r="Q9" s="55"/>
      <c r="R9" s="55"/>
      <c r="S9" s="55"/>
      <c r="T9" s="55"/>
      <c r="U9" s="55"/>
      <c r="V9" s="55"/>
      <c r="W9" s="11"/>
      <c r="X9" s="11"/>
      <c r="Y9" s="11"/>
      <c r="Z9" s="11"/>
      <c r="AA9" s="11"/>
      <c r="AB9" s="11"/>
      <c r="AC9" s="11"/>
      <c r="AD9" s="11"/>
      <c r="AE9" s="11"/>
    </row>
    <row r="10" ht="22.5" customHeight="1">
      <c r="A10" s="12">
        <v>45725.0</v>
      </c>
      <c r="B10" s="43">
        <v>368.0</v>
      </c>
      <c r="C10" s="44">
        <v>50.0</v>
      </c>
      <c r="D10" s="44">
        <v>343.0</v>
      </c>
      <c r="E10" s="45">
        <v>57.5</v>
      </c>
      <c r="F10" s="44">
        <v>129.0</v>
      </c>
      <c r="G10" s="45">
        <v>220.0</v>
      </c>
      <c r="H10" s="44">
        <v>144.0</v>
      </c>
      <c r="I10" s="44">
        <v>150.0</v>
      </c>
      <c r="J10" s="44">
        <v>360.0</v>
      </c>
      <c r="K10" s="44">
        <v>310.0</v>
      </c>
      <c r="L10" s="44">
        <v>220.0</v>
      </c>
      <c r="M10" s="44">
        <v>150.0</v>
      </c>
      <c r="N10" s="45">
        <f t="shared" si="1"/>
        <v>2501.5</v>
      </c>
      <c r="O10" s="11"/>
      <c r="P10" s="11"/>
      <c r="Q10" s="55"/>
      <c r="R10" s="55"/>
      <c r="S10" s="55"/>
      <c r="T10" s="55"/>
      <c r="U10" s="55"/>
      <c r="V10" s="55"/>
      <c r="W10" s="11"/>
      <c r="X10" s="11"/>
      <c r="Y10" s="11"/>
      <c r="Z10" s="11"/>
      <c r="AA10" s="11"/>
      <c r="AB10" s="11"/>
      <c r="AC10" s="11"/>
      <c r="AD10" s="11"/>
      <c r="AE10" s="11"/>
    </row>
    <row r="11" ht="22.5" customHeight="1">
      <c r="A11" s="12">
        <v>45726.0</v>
      </c>
      <c r="B11" s="43">
        <v>414.0</v>
      </c>
      <c r="C11" s="44">
        <v>164.0</v>
      </c>
      <c r="D11" s="44">
        <v>189.0</v>
      </c>
      <c r="E11" s="45">
        <v>82.5</v>
      </c>
      <c r="F11" s="44">
        <v>180.0</v>
      </c>
      <c r="G11" s="45">
        <v>170.0</v>
      </c>
      <c r="H11" s="44">
        <v>96.0</v>
      </c>
      <c r="I11" s="44">
        <v>150.0</v>
      </c>
      <c r="J11" s="44">
        <v>540.0</v>
      </c>
      <c r="K11" s="44">
        <v>400.0</v>
      </c>
      <c r="L11" s="44">
        <v>154.0</v>
      </c>
      <c r="M11" s="44">
        <v>105.0</v>
      </c>
      <c r="N11" s="45">
        <f t="shared" si="1"/>
        <v>2644.5</v>
      </c>
      <c r="O11" s="11"/>
      <c r="P11" s="11"/>
      <c r="Q11" s="55"/>
      <c r="R11" s="55"/>
      <c r="S11" s="55"/>
      <c r="T11" s="55"/>
      <c r="U11" s="55"/>
      <c r="V11" s="55"/>
      <c r="W11" s="11"/>
      <c r="X11" s="11"/>
      <c r="Y11" s="11"/>
      <c r="Z11" s="11"/>
      <c r="AA11" s="11"/>
      <c r="AB11" s="11"/>
      <c r="AC11" s="11"/>
      <c r="AD11" s="11"/>
      <c r="AE11" s="11"/>
    </row>
    <row r="12" ht="22.5" customHeight="1">
      <c r="A12" s="12">
        <v>45727.0</v>
      </c>
      <c r="B12" s="43">
        <v>954.5</v>
      </c>
      <c r="C12" s="44">
        <v>190.0</v>
      </c>
      <c r="D12" s="44">
        <v>371.0</v>
      </c>
      <c r="E12" s="45">
        <v>150.0</v>
      </c>
      <c r="F12" s="44">
        <v>159.0</v>
      </c>
      <c r="G12" s="45">
        <v>160.0</v>
      </c>
      <c r="H12" s="44">
        <v>56.0</v>
      </c>
      <c r="I12" s="44">
        <v>50.0</v>
      </c>
      <c r="J12" s="44">
        <v>360.0</v>
      </c>
      <c r="K12" s="44">
        <v>420.0</v>
      </c>
      <c r="L12" s="44">
        <v>132.0</v>
      </c>
      <c r="M12" s="44">
        <v>90.0</v>
      </c>
      <c r="N12" s="45">
        <f t="shared" si="1"/>
        <v>3092.5</v>
      </c>
      <c r="O12" s="11"/>
      <c r="P12" s="11"/>
      <c r="Q12" s="55"/>
      <c r="R12" s="55"/>
      <c r="S12" s="55"/>
      <c r="T12" s="55"/>
      <c r="U12" s="55"/>
      <c r="V12" s="55"/>
      <c r="W12" s="11"/>
      <c r="X12" s="11"/>
      <c r="Y12" s="11"/>
      <c r="Z12" s="11"/>
      <c r="AA12" s="11"/>
      <c r="AB12" s="11"/>
      <c r="AC12" s="11"/>
      <c r="AD12" s="11"/>
      <c r="AE12" s="11"/>
    </row>
    <row r="13" ht="22.5" customHeight="1">
      <c r="A13" s="12">
        <v>45728.0</v>
      </c>
      <c r="B13" s="43">
        <v>552.0</v>
      </c>
      <c r="C13" s="44">
        <v>70.0</v>
      </c>
      <c r="D13" s="44">
        <v>518.0</v>
      </c>
      <c r="E13" s="45">
        <v>152.5</v>
      </c>
      <c r="F13" s="44">
        <v>123.0</v>
      </c>
      <c r="G13" s="45">
        <v>260.0</v>
      </c>
      <c r="H13" s="44">
        <v>144.0</v>
      </c>
      <c r="I13" s="44">
        <v>100.0</v>
      </c>
      <c r="J13" s="44">
        <v>180.0</v>
      </c>
      <c r="K13" s="44">
        <v>310.0</v>
      </c>
      <c r="L13" s="44">
        <v>220.0</v>
      </c>
      <c r="M13" s="44">
        <v>150.0</v>
      </c>
      <c r="N13" s="45">
        <f t="shared" si="1"/>
        <v>2779.5</v>
      </c>
      <c r="O13" s="11"/>
      <c r="P13" s="11"/>
      <c r="Q13" s="55"/>
      <c r="R13" s="55"/>
      <c r="S13" s="55"/>
      <c r="T13" s="55"/>
      <c r="U13" s="55"/>
      <c r="V13" s="55"/>
      <c r="W13" s="11"/>
      <c r="X13" s="11"/>
      <c r="Y13" s="11"/>
      <c r="Z13" s="11"/>
      <c r="AA13" s="11"/>
      <c r="AB13" s="11"/>
      <c r="AC13" s="11"/>
      <c r="AD13" s="11"/>
      <c r="AE13" s="11"/>
    </row>
    <row r="14" ht="22.5" customHeight="1">
      <c r="A14" s="12">
        <v>45729.0</v>
      </c>
      <c r="B14" s="43">
        <v>793.5</v>
      </c>
      <c r="C14" s="44">
        <v>120.0</v>
      </c>
      <c r="D14" s="44">
        <v>574.0</v>
      </c>
      <c r="E14" s="45">
        <v>92.5</v>
      </c>
      <c r="F14" s="44">
        <v>135.0</v>
      </c>
      <c r="G14" s="45">
        <v>200.0</v>
      </c>
      <c r="H14" s="44">
        <v>48.0</v>
      </c>
      <c r="I14" s="44">
        <v>200.0</v>
      </c>
      <c r="J14" s="44">
        <v>360.0</v>
      </c>
      <c r="K14" s="44">
        <v>310.0</v>
      </c>
      <c r="L14" s="44">
        <v>220.0</v>
      </c>
      <c r="M14" s="44">
        <v>150.0</v>
      </c>
      <c r="N14" s="45">
        <f t="shared" si="1"/>
        <v>3203</v>
      </c>
      <c r="O14" s="11"/>
      <c r="P14" s="11"/>
      <c r="Q14" s="55"/>
      <c r="R14" s="55"/>
      <c r="S14" s="55"/>
      <c r="T14" s="55"/>
      <c r="U14" s="55"/>
      <c r="V14" s="55"/>
      <c r="W14" s="11"/>
      <c r="X14" s="11"/>
      <c r="Y14" s="11"/>
      <c r="Z14" s="11"/>
      <c r="AA14" s="11"/>
      <c r="AB14" s="11"/>
      <c r="AC14" s="11"/>
      <c r="AD14" s="11"/>
      <c r="AE14" s="11"/>
    </row>
    <row r="15" ht="22.5" customHeight="1">
      <c r="A15" s="12">
        <v>45730.0</v>
      </c>
      <c r="B15" s="43">
        <v>379.5</v>
      </c>
      <c r="C15" s="44">
        <v>96.0</v>
      </c>
      <c r="D15" s="44">
        <v>336.0</v>
      </c>
      <c r="E15" s="45">
        <v>112.5</v>
      </c>
      <c r="F15" s="44">
        <v>93.0</v>
      </c>
      <c r="G15" s="45">
        <v>160.0</v>
      </c>
      <c r="H15" s="44">
        <v>72.0</v>
      </c>
      <c r="I15" s="44">
        <v>0.0</v>
      </c>
      <c r="J15" s="44">
        <v>180.0</v>
      </c>
      <c r="K15" s="44">
        <v>400.0</v>
      </c>
      <c r="L15" s="44">
        <v>110.0</v>
      </c>
      <c r="M15" s="44">
        <v>75.0</v>
      </c>
      <c r="N15" s="45">
        <f t="shared" si="1"/>
        <v>2014</v>
      </c>
      <c r="O15" s="11"/>
      <c r="P15" s="11"/>
      <c r="Q15" s="55"/>
      <c r="R15" s="55"/>
      <c r="S15" s="55"/>
      <c r="T15" s="55"/>
      <c r="U15" s="55"/>
      <c r="V15" s="55"/>
      <c r="W15" s="11"/>
      <c r="X15" s="11"/>
      <c r="Y15" s="11"/>
      <c r="Z15" s="11"/>
      <c r="AA15" s="11"/>
      <c r="AB15" s="11"/>
      <c r="AC15" s="11"/>
      <c r="AD15" s="11"/>
      <c r="AE15" s="11"/>
    </row>
    <row r="16" ht="22.5" customHeight="1">
      <c r="A16" s="12">
        <v>45731.0</v>
      </c>
      <c r="B16" s="43">
        <v>563.5</v>
      </c>
      <c r="C16" s="44">
        <v>34.0</v>
      </c>
      <c r="D16" s="44">
        <v>224.0</v>
      </c>
      <c r="E16" s="45">
        <v>87.5</v>
      </c>
      <c r="F16" s="44">
        <v>159.0</v>
      </c>
      <c r="G16" s="45">
        <v>150.0</v>
      </c>
      <c r="H16" s="44">
        <v>48.0</v>
      </c>
      <c r="I16" s="44">
        <v>130.0</v>
      </c>
      <c r="J16" s="44">
        <v>540.0</v>
      </c>
      <c r="K16" s="44">
        <v>300.0</v>
      </c>
      <c r="L16" s="44">
        <v>176.0</v>
      </c>
      <c r="M16" s="44">
        <v>120.0</v>
      </c>
      <c r="N16" s="45">
        <f t="shared" si="1"/>
        <v>2532</v>
      </c>
      <c r="O16" s="11"/>
      <c r="P16" s="11"/>
      <c r="Q16" s="55"/>
      <c r="R16" s="55"/>
      <c r="S16" s="55"/>
      <c r="T16" s="55"/>
      <c r="U16" s="55"/>
      <c r="V16" s="55"/>
      <c r="W16" s="11"/>
      <c r="X16" s="11"/>
      <c r="Y16" s="11"/>
      <c r="Z16" s="11"/>
      <c r="AA16" s="11"/>
      <c r="AB16" s="11"/>
      <c r="AC16" s="11"/>
      <c r="AD16" s="11"/>
      <c r="AE16" s="11"/>
    </row>
    <row r="17" ht="22.5" customHeight="1">
      <c r="A17" s="12">
        <v>45732.0</v>
      </c>
      <c r="B17" s="43">
        <v>793.5</v>
      </c>
      <c r="C17" s="44">
        <v>118.0</v>
      </c>
      <c r="D17" s="44">
        <v>434.0</v>
      </c>
      <c r="E17" s="45">
        <v>175.0</v>
      </c>
      <c r="F17" s="44">
        <v>147.0</v>
      </c>
      <c r="G17" s="45">
        <v>260.0</v>
      </c>
      <c r="H17" s="44">
        <v>56.0</v>
      </c>
      <c r="I17" s="44">
        <v>455.0</v>
      </c>
      <c r="J17" s="44">
        <v>0.0</v>
      </c>
      <c r="K17" s="44">
        <v>280.0</v>
      </c>
      <c r="L17" s="44">
        <v>154.0</v>
      </c>
      <c r="M17" s="44">
        <v>105.0</v>
      </c>
      <c r="N17" s="45">
        <f t="shared" si="1"/>
        <v>2977.5</v>
      </c>
      <c r="O17" s="11"/>
      <c r="P17" s="11"/>
      <c r="Q17" s="55"/>
      <c r="R17" s="55"/>
      <c r="S17" s="55"/>
      <c r="T17" s="55"/>
      <c r="U17" s="55"/>
      <c r="V17" s="55"/>
      <c r="W17" s="11"/>
      <c r="X17" s="11"/>
      <c r="Y17" s="11"/>
      <c r="Z17" s="11"/>
      <c r="AA17" s="11"/>
      <c r="AB17" s="11"/>
      <c r="AC17" s="11"/>
      <c r="AD17" s="11"/>
      <c r="AE17" s="11"/>
    </row>
    <row r="18" ht="22.5" customHeight="1">
      <c r="A18" s="12">
        <v>45733.0</v>
      </c>
      <c r="B18" s="43">
        <v>287.5</v>
      </c>
      <c r="C18" s="44">
        <v>136.0</v>
      </c>
      <c r="D18" s="44">
        <v>245.0</v>
      </c>
      <c r="E18" s="45">
        <v>52.5</v>
      </c>
      <c r="F18" s="44">
        <v>93.0</v>
      </c>
      <c r="G18" s="45">
        <v>260.0</v>
      </c>
      <c r="H18" s="44">
        <v>40.0</v>
      </c>
      <c r="I18" s="44">
        <v>325.0</v>
      </c>
      <c r="J18" s="44">
        <v>360.0</v>
      </c>
      <c r="K18" s="44">
        <v>120.0</v>
      </c>
      <c r="L18" s="44">
        <v>80.0</v>
      </c>
      <c r="M18" s="44">
        <v>60.0</v>
      </c>
      <c r="N18" s="45">
        <f t="shared" si="1"/>
        <v>2059</v>
      </c>
      <c r="O18" s="11"/>
      <c r="P18" s="11"/>
      <c r="Q18" s="55"/>
      <c r="R18" s="55"/>
      <c r="S18" s="55"/>
      <c r="T18" s="55"/>
      <c r="U18" s="55"/>
      <c r="V18" s="55"/>
      <c r="W18" s="11"/>
      <c r="X18" s="11"/>
      <c r="Y18" s="11"/>
      <c r="Z18" s="11"/>
      <c r="AA18" s="11"/>
      <c r="AB18" s="11"/>
      <c r="AC18" s="11"/>
      <c r="AD18" s="11"/>
      <c r="AE18" s="11"/>
    </row>
    <row r="19" ht="22.5" customHeight="1">
      <c r="A19" s="12">
        <v>45734.0</v>
      </c>
      <c r="B19" s="43">
        <v>184.0</v>
      </c>
      <c r="C19" s="44">
        <v>54.0</v>
      </c>
      <c r="D19" s="44">
        <v>399.0</v>
      </c>
      <c r="E19" s="45">
        <v>157.5</v>
      </c>
      <c r="F19" s="44">
        <v>150.0</v>
      </c>
      <c r="G19" s="45">
        <v>310.0</v>
      </c>
      <c r="H19" s="44">
        <v>96.0</v>
      </c>
      <c r="I19" s="44">
        <v>0.0</v>
      </c>
      <c r="J19" s="44">
        <v>720.0</v>
      </c>
      <c r="K19" s="44">
        <v>250.0</v>
      </c>
      <c r="L19" s="44">
        <v>200.0</v>
      </c>
      <c r="M19" s="44">
        <v>150.0</v>
      </c>
      <c r="N19" s="45">
        <f t="shared" si="1"/>
        <v>2670.5</v>
      </c>
      <c r="O19" s="11"/>
      <c r="P19" s="11"/>
      <c r="Q19" s="55"/>
      <c r="R19" s="55"/>
      <c r="S19" s="55"/>
      <c r="T19" s="55"/>
      <c r="U19" s="55"/>
      <c r="V19" s="55"/>
      <c r="W19" s="11"/>
      <c r="X19" s="11"/>
      <c r="Y19" s="11"/>
      <c r="Z19" s="11"/>
      <c r="AA19" s="11"/>
      <c r="AB19" s="11"/>
      <c r="AC19" s="11"/>
      <c r="AD19" s="11"/>
      <c r="AE19" s="11"/>
    </row>
    <row r="20" ht="22.5" customHeight="1">
      <c r="A20" s="12">
        <v>45735.0</v>
      </c>
      <c r="B20" s="43">
        <v>1161.5</v>
      </c>
      <c r="C20" s="44">
        <v>42.0</v>
      </c>
      <c r="D20" s="44">
        <v>553.0</v>
      </c>
      <c r="E20" s="45">
        <v>142.5</v>
      </c>
      <c r="F20" s="44">
        <v>90.0</v>
      </c>
      <c r="G20" s="45">
        <v>240.0</v>
      </c>
      <c r="H20" s="44">
        <v>144.0</v>
      </c>
      <c r="I20" s="44">
        <v>325.0</v>
      </c>
      <c r="J20" s="44">
        <v>360.0</v>
      </c>
      <c r="K20" s="44">
        <v>140.0</v>
      </c>
      <c r="L20" s="44">
        <v>160.0</v>
      </c>
      <c r="M20" s="44">
        <v>120.0</v>
      </c>
      <c r="N20" s="45">
        <f t="shared" si="1"/>
        <v>3478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ht="22.5" customHeight="1">
      <c r="A21" s="12">
        <v>45736.0</v>
      </c>
      <c r="B21" s="43">
        <v>345.0</v>
      </c>
      <c r="C21" s="44">
        <v>58.0</v>
      </c>
      <c r="D21" s="44">
        <v>154.0</v>
      </c>
      <c r="E21" s="45">
        <v>227.5</v>
      </c>
      <c r="F21" s="44">
        <v>123.0</v>
      </c>
      <c r="G21" s="45">
        <v>300.0</v>
      </c>
      <c r="H21" s="44">
        <v>104.0</v>
      </c>
      <c r="I21" s="44">
        <v>260.0</v>
      </c>
      <c r="J21" s="44">
        <v>0.0</v>
      </c>
      <c r="K21" s="44">
        <v>190.0</v>
      </c>
      <c r="L21" s="44">
        <v>80.0</v>
      </c>
      <c r="M21" s="44">
        <v>60.0</v>
      </c>
      <c r="N21" s="45">
        <f t="shared" si="1"/>
        <v>1901.5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ht="22.5" customHeight="1">
      <c r="A22" s="12">
        <v>45737.0</v>
      </c>
      <c r="B22" s="43">
        <v>828.0</v>
      </c>
      <c r="C22" s="44">
        <v>144.0</v>
      </c>
      <c r="D22" s="44">
        <v>301.0</v>
      </c>
      <c r="E22" s="45">
        <v>142.5</v>
      </c>
      <c r="F22" s="44">
        <v>150.0</v>
      </c>
      <c r="G22" s="45">
        <v>290.0</v>
      </c>
      <c r="H22" s="44">
        <v>80.0</v>
      </c>
      <c r="I22" s="44">
        <v>195.0</v>
      </c>
      <c r="J22" s="44">
        <v>540.0</v>
      </c>
      <c r="K22" s="44">
        <v>40.0</v>
      </c>
      <c r="L22" s="44">
        <v>140.0</v>
      </c>
      <c r="M22" s="44">
        <v>105.0</v>
      </c>
      <c r="N22" s="45">
        <f t="shared" si="1"/>
        <v>2955.5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ht="22.5" customHeight="1">
      <c r="A23" s="12">
        <v>45738.0</v>
      </c>
      <c r="B23" s="43">
        <v>494.5</v>
      </c>
      <c r="C23" s="44">
        <v>36.0</v>
      </c>
      <c r="D23" s="44">
        <v>532.0</v>
      </c>
      <c r="E23" s="45">
        <v>202.5</v>
      </c>
      <c r="F23" s="44">
        <v>102.0</v>
      </c>
      <c r="G23" s="45">
        <v>290.0</v>
      </c>
      <c r="H23" s="44">
        <v>40.0</v>
      </c>
      <c r="I23" s="44">
        <v>65.0</v>
      </c>
      <c r="J23" s="44">
        <v>540.0</v>
      </c>
      <c r="K23" s="44">
        <v>70.0</v>
      </c>
      <c r="L23" s="44">
        <v>60.0</v>
      </c>
      <c r="M23" s="44">
        <v>45.0</v>
      </c>
      <c r="N23" s="45">
        <f t="shared" si="1"/>
        <v>2477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ht="22.5" customHeight="1">
      <c r="A24" s="12">
        <v>45739.0</v>
      </c>
      <c r="B24" s="46">
        <v>678.5</v>
      </c>
      <c r="C24" s="44">
        <v>108.0</v>
      </c>
      <c r="D24" s="44">
        <v>553.0</v>
      </c>
      <c r="E24" s="45">
        <v>200.0</v>
      </c>
      <c r="F24" s="44">
        <v>138.0</v>
      </c>
      <c r="G24" s="45">
        <v>260.0</v>
      </c>
      <c r="H24" s="44">
        <v>128.0</v>
      </c>
      <c r="I24" s="44">
        <v>65.0</v>
      </c>
      <c r="J24" s="44">
        <v>900.0</v>
      </c>
      <c r="K24" s="44">
        <v>130.0</v>
      </c>
      <c r="L24" s="44">
        <v>240.0</v>
      </c>
      <c r="M24" s="44">
        <v>180.0</v>
      </c>
      <c r="N24" s="45">
        <f t="shared" si="1"/>
        <v>3580.5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ht="22.5" customHeight="1">
      <c r="A25" s="12">
        <v>45740.0</v>
      </c>
      <c r="B25" s="43">
        <v>598.0</v>
      </c>
      <c r="C25" s="44">
        <v>114.0</v>
      </c>
      <c r="D25" s="44">
        <v>294.0</v>
      </c>
      <c r="E25" s="45">
        <v>87.5</v>
      </c>
      <c r="F25" s="44">
        <v>129.0</v>
      </c>
      <c r="G25" s="45">
        <v>170.0</v>
      </c>
      <c r="H25" s="44">
        <v>40.0</v>
      </c>
      <c r="I25" s="44">
        <v>130.0</v>
      </c>
      <c r="J25" s="44">
        <v>180.0</v>
      </c>
      <c r="K25" s="44">
        <v>60.0</v>
      </c>
      <c r="L25" s="44">
        <v>160.0</v>
      </c>
      <c r="M25" s="44">
        <v>120.0</v>
      </c>
      <c r="N25" s="45">
        <f t="shared" si="1"/>
        <v>2082.5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ht="22.5" customHeight="1">
      <c r="A26" s="12">
        <v>45741.0</v>
      </c>
      <c r="B26" s="43">
        <v>862.5</v>
      </c>
      <c r="C26" s="44">
        <v>118.0</v>
      </c>
      <c r="D26" s="44">
        <v>180.0</v>
      </c>
      <c r="E26" s="45">
        <v>122.5</v>
      </c>
      <c r="F26" s="44">
        <v>135.0</v>
      </c>
      <c r="G26" s="45">
        <v>190.0</v>
      </c>
      <c r="H26" s="44">
        <v>40.0</v>
      </c>
      <c r="I26" s="44">
        <v>65.0</v>
      </c>
      <c r="J26" s="44">
        <v>180.0</v>
      </c>
      <c r="K26" s="44">
        <v>140.0</v>
      </c>
      <c r="L26" s="44">
        <v>220.0</v>
      </c>
      <c r="M26" s="44">
        <v>165.0</v>
      </c>
      <c r="N26" s="45">
        <f t="shared" si="1"/>
        <v>2418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ht="22.5" customHeight="1">
      <c r="A27" s="12">
        <v>45742.0</v>
      </c>
      <c r="B27" s="43">
        <v>874.0</v>
      </c>
      <c r="C27" s="44">
        <v>112.0</v>
      </c>
      <c r="D27" s="44">
        <v>216.0</v>
      </c>
      <c r="E27" s="45">
        <v>204.0</v>
      </c>
      <c r="F27" s="44">
        <v>132.0</v>
      </c>
      <c r="G27" s="45">
        <v>210.0</v>
      </c>
      <c r="H27" s="44">
        <v>56.0</v>
      </c>
      <c r="I27" s="44">
        <v>0.0</v>
      </c>
      <c r="J27" s="44">
        <v>180.0</v>
      </c>
      <c r="K27" s="44">
        <v>150.0</v>
      </c>
      <c r="L27" s="44">
        <v>60.0</v>
      </c>
      <c r="M27" s="44">
        <v>45.0</v>
      </c>
      <c r="N27" s="45">
        <f t="shared" si="1"/>
        <v>2239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ht="22.5" customHeight="1">
      <c r="A28" s="12">
        <v>45743.0</v>
      </c>
      <c r="B28" s="43">
        <v>391.0</v>
      </c>
      <c r="C28" s="44">
        <v>122.0</v>
      </c>
      <c r="D28" s="44">
        <v>138.0</v>
      </c>
      <c r="E28" s="45">
        <v>207.0</v>
      </c>
      <c r="F28" s="44">
        <v>96.0</v>
      </c>
      <c r="G28" s="45">
        <v>230.0</v>
      </c>
      <c r="H28" s="44">
        <v>67.5</v>
      </c>
      <c r="I28" s="44">
        <v>195.0</v>
      </c>
      <c r="J28" s="44">
        <v>0.0</v>
      </c>
      <c r="K28" s="44">
        <v>100.0</v>
      </c>
      <c r="L28" s="44">
        <v>240.0</v>
      </c>
      <c r="M28" s="44">
        <v>180.0</v>
      </c>
      <c r="N28" s="45">
        <f t="shared" si="1"/>
        <v>1966.5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ht="22.5" customHeight="1">
      <c r="A29" s="12">
        <v>45744.0</v>
      </c>
      <c r="B29" s="43">
        <v>609.5</v>
      </c>
      <c r="C29" s="44">
        <v>38.0</v>
      </c>
      <c r="D29" s="44">
        <v>426.0</v>
      </c>
      <c r="E29" s="45">
        <v>39.0</v>
      </c>
      <c r="F29" s="44">
        <v>150.0</v>
      </c>
      <c r="G29" s="45">
        <v>210.0</v>
      </c>
      <c r="H29" s="44">
        <v>75.0</v>
      </c>
      <c r="I29" s="44">
        <v>130.0</v>
      </c>
      <c r="J29" s="44">
        <v>360.0</v>
      </c>
      <c r="K29" s="44">
        <v>50.0</v>
      </c>
      <c r="L29" s="44">
        <v>100.0</v>
      </c>
      <c r="M29" s="44">
        <v>75.0</v>
      </c>
      <c r="N29" s="45">
        <f t="shared" si="1"/>
        <v>2262.5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ht="22.5" customHeight="1">
      <c r="A30" s="12">
        <v>45745.0</v>
      </c>
      <c r="B30" s="43">
        <v>241.5</v>
      </c>
      <c r="C30" s="44">
        <v>122.0</v>
      </c>
      <c r="D30" s="44">
        <v>120.0</v>
      </c>
      <c r="E30" s="45">
        <v>159.0</v>
      </c>
      <c r="F30" s="44">
        <v>108.0</v>
      </c>
      <c r="G30" s="45">
        <v>320.0</v>
      </c>
      <c r="H30" s="44">
        <v>45.0</v>
      </c>
      <c r="I30" s="44">
        <v>195.0</v>
      </c>
      <c r="J30" s="44">
        <v>540.0</v>
      </c>
      <c r="K30" s="44">
        <v>50.0</v>
      </c>
      <c r="L30" s="44">
        <v>180.0</v>
      </c>
      <c r="M30" s="44">
        <v>135.0</v>
      </c>
      <c r="N30" s="45">
        <f t="shared" si="1"/>
        <v>2215.5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 ht="22.5" customHeight="1">
      <c r="A31" s="12">
        <v>45746.0</v>
      </c>
      <c r="B31" s="43">
        <v>310.5</v>
      </c>
      <c r="C31" s="44">
        <v>132.0</v>
      </c>
      <c r="D31" s="44">
        <v>294.0</v>
      </c>
      <c r="E31" s="45">
        <v>54.0</v>
      </c>
      <c r="F31" s="44">
        <v>120.0</v>
      </c>
      <c r="G31" s="45">
        <v>180.0</v>
      </c>
      <c r="H31" s="44">
        <v>112.5</v>
      </c>
      <c r="I31" s="44">
        <v>260.0</v>
      </c>
      <c r="J31" s="44">
        <v>180.0</v>
      </c>
      <c r="K31" s="44">
        <v>180.0</v>
      </c>
      <c r="L31" s="44">
        <v>120.0</v>
      </c>
      <c r="M31" s="44">
        <v>90.0</v>
      </c>
      <c r="N31" s="45">
        <f t="shared" si="1"/>
        <v>2033</v>
      </c>
      <c r="O31" s="11"/>
      <c r="P31" s="11"/>
      <c r="Q31" s="11"/>
      <c r="R31" s="11"/>
      <c r="S31" s="79" t="s">
        <v>46</v>
      </c>
      <c r="T31" s="79" t="s">
        <v>3</v>
      </c>
      <c r="U31" s="79" t="s">
        <v>1</v>
      </c>
      <c r="V31" s="80" t="s">
        <v>60</v>
      </c>
      <c r="W31" s="79" t="s">
        <v>61</v>
      </c>
      <c r="X31" s="81" t="s">
        <v>62</v>
      </c>
      <c r="Y31" s="11"/>
      <c r="Z31" s="11"/>
      <c r="AA31" s="11"/>
      <c r="AB31" s="11"/>
      <c r="AC31" s="11"/>
      <c r="AD31" s="11"/>
      <c r="AE31" s="11"/>
    </row>
    <row r="32" ht="22.5" customHeight="1">
      <c r="A32" s="12">
        <v>45747.0</v>
      </c>
      <c r="B32" s="43">
        <v>425.5</v>
      </c>
      <c r="C32" s="44">
        <v>92.0</v>
      </c>
      <c r="D32" s="44">
        <v>192.0</v>
      </c>
      <c r="E32" s="45">
        <v>219.0</v>
      </c>
      <c r="F32" s="44">
        <v>114.0</v>
      </c>
      <c r="G32" s="45">
        <v>280.0</v>
      </c>
      <c r="H32" s="44">
        <v>82.5</v>
      </c>
      <c r="I32" s="44">
        <v>130.0</v>
      </c>
      <c r="J32" s="44">
        <v>180.0</v>
      </c>
      <c r="K32" s="44">
        <v>380.0</v>
      </c>
      <c r="L32" s="44">
        <v>220.0</v>
      </c>
      <c r="M32" s="44">
        <v>165.0</v>
      </c>
      <c r="N32" s="45">
        <f t="shared" si="1"/>
        <v>2480</v>
      </c>
      <c r="O32" s="11"/>
      <c r="P32" s="11"/>
      <c r="Q32" s="11"/>
      <c r="R32" s="11"/>
      <c r="S32" s="82" t="s">
        <v>27</v>
      </c>
      <c r="T32" s="83">
        <v>32591.0</v>
      </c>
      <c r="U32" s="83">
        <v>170040.0</v>
      </c>
      <c r="V32" s="84">
        <f t="shared" ref="V32:V43" si="2">U32/$U$44</f>
        <v>0.1122400686</v>
      </c>
      <c r="W32" s="85">
        <f t="shared" ref="W32:W43" si="3">T32/$G$81</f>
        <v>0.1895277363</v>
      </c>
      <c r="X32" s="86">
        <f t="shared" ref="X32:X43" si="4">T32/U32</f>
        <v>0.1916666667</v>
      </c>
      <c r="Y32" s="11"/>
      <c r="Z32" s="11"/>
      <c r="AA32" s="11"/>
      <c r="AB32" s="11"/>
      <c r="AC32" s="11"/>
      <c r="AD32" s="11"/>
      <c r="AE32" s="11"/>
    </row>
    <row r="33" ht="22.5" customHeight="1">
      <c r="A33" s="12">
        <v>45748.0</v>
      </c>
      <c r="B33" s="46">
        <v>184.0</v>
      </c>
      <c r="C33" s="44">
        <v>46.0</v>
      </c>
      <c r="D33" s="44">
        <v>324.0</v>
      </c>
      <c r="E33" s="45">
        <v>201.0</v>
      </c>
      <c r="F33" s="44">
        <v>141.0</v>
      </c>
      <c r="G33" s="45">
        <v>320.0</v>
      </c>
      <c r="H33" s="44">
        <v>90.0</v>
      </c>
      <c r="I33" s="44">
        <v>390.0</v>
      </c>
      <c r="J33" s="44">
        <v>720.0</v>
      </c>
      <c r="K33" s="44">
        <v>90.0</v>
      </c>
      <c r="L33" s="44">
        <v>100.0</v>
      </c>
      <c r="M33" s="44">
        <v>75.0</v>
      </c>
      <c r="N33" s="45">
        <f t="shared" si="1"/>
        <v>2681</v>
      </c>
      <c r="O33" s="11"/>
      <c r="P33" s="11"/>
      <c r="Q33" s="11"/>
      <c r="R33" s="11"/>
      <c r="S33" s="82" t="s">
        <v>48</v>
      </c>
      <c r="T33" s="83">
        <v>5654.0</v>
      </c>
      <c r="U33" s="83">
        <v>125521.0</v>
      </c>
      <c r="V33" s="84">
        <f t="shared" si="2"/>
        <v>0.08285394995</v>
      </c>
      <c r="W33" s="85">
        <f t="shared" si="3"/>
        <v>0.03287993068</v>
      </c>
      <c r="X33" s="86">
        <f t="shared" si="4"/>
        <v>0.04504425554</v>
      </c>
      <c r="Y33" s="11"/>
      <c r="Z33" s="11"/>
      <c r="AA33" s="11"/>
      <c r="AB33" s="11"/>
      <c r="AC33" s="11"/>
      <c r="AD33" s="11"/>
      <c r="AE33" s="11"/>
    </row>
    <row r="34" ht="22.5" customHeight="1">
      <c r="A34" s="12">
        <v>45749.0</v>
      </c>
      <c r="B34" s="46">
        <v>701.5</v>
      </c>
      <c r="C34" s="44">
        <v>58.0</v>
      </c>
      <c r="D34" s="44">
        <v>312.0</v>
      </c>
      <c r="E34" s="45">
        <v>93.0</v>
      </c>
      <c r="F34" s="44">
        <v>99.0</v>
      </c>
      <c r="G34" s="45">
        <v>230.0</v>
      </c>
      <c r="H34" s="44">
        <v>45.0</v>
      </c>
      <c r="I34" s="44">
        <v>260.0</v>
      </c>
      <c r="J34" s="44">
        <v>1080.0</v>
      </c>
      <c r="K34" s="44">
        <v>70.0</v>
      </c>
      <c r="L34" s="44">
        <v>140.0</v>
      </c>
      <c r="M34" s="44">
        <v>105.0</v>
      </c>
      <c r="N34" s="45">
        <f t="shared" si="1"/>
        <v>3193.5</v>
      </c>
      <c r="O34" s="11"/>
      <c r="P34" s="11"/>
      <c r="Q34" s="11"/>
      <c r="R34" s="11"/>
      <c r="S34" s="82" t="s">
        <v>29</v>
      </c>
      <c r="T34" s="83">
        <v>18932.0</v>
      </c>
      <c r="U34" s="83">
        <v>336860.0</v>
      </c>
      <c r="V34" s="84">
        <f t="shared" si="2"/>
        <v>0.2223546784</v>
      </c>
      <c r="W34" s="85">
        <f t="shared" si="3"/>
        <v>0.1100960113</v>
      </c>
      <c r="X34" s="86">
        <f t="shared" si="4"/>
        <v>0.0562013893</v>
      </c>
      <c r="Y34" s="11"/>
      <c r="Z34" s="11"/>
      <c r="AA34" s="11"/>
      <c r="AB34" s="11"/>
      <c r="AC34" s="11"/>
      <c r="AD34" s="11"/>
      <c r="AE34" s="11"/>
    </row>
    <row r="35" ht="22.5" customHeight="1">
      <c r="A35" s="12">
        <v>45750.0</v>
      </c>
      <c r="B35" s="46">
        <v>713.0</v>
      </c>
      <c r="C35" s="44">
        <v>48.0</v>
      </c>
      <c r="D35" s="44">
        <v>360.0</v>
      </c>
      <c r="E35" s="45">
        <v>351.0</v>
      </c>
      <c r="F35" s="44">
        <v>87.0</v>
      </c>
      <c r="G35" s="45">
        <v>160.0</v>
      </c>
      <c r="H35" s="44">
        <v>52.5</v>
      </c>
      <c r="I35" s="44">
        <v>455.0</v>
      </c>
      <c r="J35" s="44">
        <v>1260.0</v>
      </c>
      <c r="K35" s="44">
        <v>120.0</v>
      </c>
      <c r="L35" s="44">
        <v>100.0</v>
      </c>
      <c r="M35" s="44">
        <v>75.0</v>
      </c>
      <c r="N35" s="45">
        <f t="shared" si="1"/>
        <v>3781.5</v>
      </c>
      <c r="O35" s="11"/>
      <c r="P35" s="55"/>
      <c r="Q35" s="55"/>
      <c r="R35" s="55"/>
      <c r="S35" s="82" t="s">
        <v>41</v>
      </c>
      <c r="T35" s="83">
        <v>12894.5</v>
      </c>
      <c r="U35" s="83">
        <v>124441.0</v>
      </c>
      <c r="V35" s="84">
        <f t="shared" si="2"/>
        <v>0.08214106314</v>
      </c>
      <c r="W35" s="85">
        <f t="shared" si="3"/>
        <v>0.0749858978</v>
      </c>
      <c r="X35" s="86">
        <f t="shared" si="4"/>
        <v>0.1036193859</v>
      </c>
      <c r="Y35" s="55"/>
      <c r="AA35" s="11"/>
      <c r="AB35" s="11"/>
      <c r="AC35" s="11"/>
      <c r="AD35" s="11"/>
      <c r="AE35" s="11"/>
    </row>
    <row r="36" ht="22.5" customHeight="1">
      <c r="A36" s="12">
        <v>45751.0</v>
      </c>
      <c r="B36" s="46">
        <v>529.0</v>
      </c>
      <c r="C36" s="44">
        <v>148.0</v>
      </c>
      <c r="D36" s="44">
        <v>276.0</v>
      </c>
      <c r="E36" s="45">
        <v>294.0</v>
      </c>
      <c r="F36" s="44">
        <v>129.0</v>
      </c>
      <c r="G36" s="45">
        <v>290.0</v>
      </c>
      <c r="H36" s="44">
        <v>135.0</v>
      </c>
      <c r="I36" s="44">
        <v>130.0</v>
      </c>
      <c r="J36" s="44">
        <v>360.0</v>
      </c>
      <c r="K36" s="44">
        <v>130.0</v>
      </c>
      <c r="L36" s="44">
        <v>180.0</v>
      </c>
      <c r="M36" s="44">
        <v>135.0</v>
      </c>
      <c r="N36" s="45">
        <f t="shared" si="1"/>
        <v>2736</v>
      </c>
      <c r="O36" s="11"/>
      <c r="P36" s="55"/>
      <c r="Q36" s="55"/>
      <c r="R36" s="55"/>
      <c r="S36" s="82" t="s">
        <v>31</v>
      </c>
      <c r="T36" s="83">
        <v>7794.0</v>
      </c>
      <c r="U36" s="83">
        <v>155880.0</v>
      </c>
      <c r="V36" s="84">
        <f t="shared" si="2"/>
        <v>0.1028933303</v>
      </c>
      <c r="W36" s="85">
        <f t="shared" si="3"/>
        <v>0.04532475765</v>
      </c>
      <c r="X36" s="86">
        <f t="shared" si="4"/>
        <v>0.05</v>
      </c>
      <c r="Y36" s="55"/>
      <c r="AA36" s="11"/>
      <c r="AB36" s="11"/>
      <c r="AC36" s="11"/>
      <c r="AD36" s="11"/>
      <c r="AE36" s="11"/>
    </row>
    <row r="37" ht="22.5" customHeight="1">
      <c r="A37" s="12">
        <v>45752.0</v>
      </c>
      <c r="B37" s="46">
        <v>402.5</v>
      </c>
      <c r="C37" s="44">
        <v>108.0</v>
      </c>
      <c r="D37" s="44">
        <v>204.0</v>
      </c>
      <c r="E37" s="45">
        <v>174.0</v>
      </c>
      <c r="F37" s="44">
        <v>156.0</v>
      </c>
      <c r="G37" s="45">
        <v>210.0</v>
      </c>
      <c r="H37" s="44">
        <v>60.0</v>
      </c>
      <c r="I37" s="44">
        <v>390.0</v>
      </c>
      <c r="J37" s="44">
        <v>1440.0</v>
      </c>
      <c r="K37" s="44">
        <v>100.0</v>
      </c>
      <c r="L37" s="44">
        <v>140.0</v>
      </c>
      <c r="M37" s="44">
        <v>105.0</v>
      </c>
      <c r="N37" s="45">
        <f t="shared" si="1"/>
        <v>3489.5</v>
      </c>
      <c r="O37" s="11"/>
      <c r="P37" s="55"/>
      <c r="Q37" s="55"/>
      <c r="R37" s="55"/>
      <c r="S37" s="82" t="s">
        <v>34</v>
      </c>
      <c r="T37" s="83">
        <v>12297.5</v>
      </c>
      <c r="U37" s="83">
        <v>134010.0</v>
      </c>
      <c r="V37" s="84">
        <f t="shared" si="2"/>
        <v>0.08845737234</v>
      </c>
      <c r="W37" s="85">
        <f t="shared" si="3"/>
        <v>0.07151414</v>
      </c>
      <c r="X37" s="86">
        <f t="shared" si="4"/>
        <v>0.09176553989</v>
      </c>
      <c r="Y37" s="55"/>
      <c r="AA37" s="11"/>
      <c r="AB37" s="11"/>
      <c r="AC37" s="11"/>
      <c r="AD37" s="11"/>
      <c r="AE37" s="11"/>
    </row>
    <row r="38" ht="22.5" customHeight="1">
      <c r="A38" s="12">
        <v>45753.0</v>
      </c>
      <c r="B38" s="46">
        <v>897.0</v>
      </c>
      <c r="C38" s="44">
        <v>56.0</v>
      </c>
      <c r="D38" s="44">
        <v>574.0</v>
      </c>
      <c r="E38" s="45">
        <v>300.0</v>
      </c>
      <c r="F38" s="44">
        <v>150.0</v>
      </c>
      <c r="G38" s="45">
        <v>260.0</v>
      </c>
      <c r="H38" s="44">
        <v>45.0</v>
      </c>
      <c r="I38" s="44">
        <v>195.0</v>
      </c>
      <c r="J38" s="44">
        <v>540.0</v>
      </c>
      <c r="K38" s="44">
        <v>160.0</v>
      </c>
      <c r="L38" s="44">
        <v>220.0</v>
      </c>
      <c r="M38" s="44">
        <v>165.0</v>
      </c>
      <c r="N38" s="45">
        <f t="shared" si="1"/>
        <v>3562</v>
      </c>
      <c r="O38" s="11"/>
      <c r="P38" s="55"/>
      <c r="Q38" s="55"/>
      <c r="R38" s="55"/>
      <c r="S38" s="82" t="s">
        <v>35</v>
      </c>
      <c r="T38" s="83">
        <v>34020.0</v>
      </c>
      <c r="U38" s="83">
        <v>151200.0</v>
      </c>
      <c r="V38" s="84">
        <f t="shared" si="2"/>
        <v>0.09980415415</v>
      </c>
      <c r="W38" s="85">
        <f t="shared" si="3"/>
        <v>0.1978378567</v>
      </c>
      <c r="X38" s="86">
        <f t="shared" si="4"/>
        <v>0.225</v>
      </c>
      <c r="Y38" s="55"/>
      <c r="AA38" s="11"/>
      <c r="AB38" s="11"/>
      <c r="AC38" s="11"/>
      <c r="AD38" s="11"/>
      <c r="AE38" s="11"/>
    </row>
    <row r="39" ht="22.5" customHeight="1">
      <c r="A39" s="12">
        <v>45754.0</v>
      </c>
      <c r="B39" s="46">
        <v>690.0</v>
      </c>
      <c r="C39" s="44">
        <v>46.0</v>
      </c>
      <c r="D39" s="44">
        <v>154.0</v>
      </c>
      <c r="E39" s="45">
        <v>204.0</v>
      </c>
      <c r="F39" s="44">
        <v>93.0</v>
      </c>
      <c r="G39" s="45">
        <v>220.0</v>
      </c>
      <c r="H39" s="44">
        <v>60.0</v>
      </c>
      <c r="I39" s="44">
        <v>130.0</v>
      </c>
      <c r="J39" s="44">
        <v>630.0</v>
      </c>
      <c r="K39" s="44">
        <v>110.0</v>
      </c>
      <c r="L39" s="44">
        <v>180.0</v>
      </c>
      <c r="M39" s="44">
        <v>135.0</v>
      </c>
      <c r="N39" s="45">
        <f t="shared" si="1"/>
        <v>2652</v>
      </c>
      <c r="O39" s="11"/>
      <c r="P39" s="55"/>
      <c r="Q39" s="55"/>
      <c r="R39" s="55"/>
      <c r="S39" s="82" t="s">
        <v>36</v>
      </c>
      <c r="T39" s="83">
        <v>11870.0</v>
      </c>
      <c r="U39" s="83">
        <v>59350.0</v>
      </c>
      <c r="V39" s="84">
        <f t="shared" si="2"/>
        <v>0.03917577083</v>
      </c>
      <c r="W39" s="85">
        <f t="shared" si="3"/>
        <v>0.06902808228</v>
      </c>
      <c r="X39" s="86">
        <f t="shared" si="4"/>
        <v>0.2</v>
      </c>
      <c r="Y39" s="55"/>
      <c r="AA39" s="11"/>
      <c r="AB39" s="11"/>
      <c r="AC39" s="11"/>
      <c r="AD39" s="11"/>
      <c r="AE39" s="11"/>
    </row>
    <row r="40" ht="22.5" customHeight="1">
      <c r="A40" s="12">
        <v>45755.0</v>
      </c>
      <c r="B40" s="46">
        <v>483.0</v>
      </c>
      <c r="C40" s="44">
        <v>36.0</v>
      </c>
      <c r="D40" s="44">
        <v>287.0</v>
      </c>
      <c r="E40" s="45">
        <v>153.0</v>
      </c>
      <c r="F40" s="44">
        <v>147.0</v>
      </c>
      <c r="G40" s="45">
        <v>290.0</v>
      </c>
      <c r="H40" s="44">
        <v>104.0</v>
      </c>
      <c r="I40" s="44">
        <v>260.0</v>
      </c>
      <c r="J40" s="44">
        <v>720.0</v>
      </c>
      <c r="K40" s="44">
        <v>170.0</v>
      </c>
      <c r="L40" s="44">
        <v>80.0</v>
      </c>
      <c r="M40" s="44">
        <v>60.0</v>
      </c>
      <c r="N40" s="45">
        <f t="shared" si="1"/>
        <v>2790</v>
      </c>
      <c r="O40" s="11"/>
      <c r="P40" s="55"/>
      <c r="Q40" s="55"/>
      <c r="R40" s="55"/>
      <c r="S40" s="82" t="s">
        <v>32</v>
      </c>
      <c r="T40" s="83">
        <v>14350.0</v>
      </c>
      <c r="U40" s="83">
        <v>57400.0</v>
      </c>
      <c r="V40" s="84">
        <f t="shared" si="2"/>
        <v>0.03788861408</v>
      </c>
      <c r="W40" s="85">
        <f t="shared" si="3"/>
        <v>0.08345012474</v>
      </c>
      <c r="X40" s="86">
        <f t="shared" si="4"/>
        <v>0.25</v>
      </c>
      <c r="Y40" s="55"/>
      <c r="AA40" s="11"/>
      <c r="AB40" s="11"/>
      <c r="AC40" s="11"/>
      <c r="AD40" s="11"/>
      <c r="AE40" s="11"/>
    </row>
    <row r="41" ht="22.5" customHeight="1">
      <c r="A41" s="12">
        <v>45756.0</v>
      </c>
      <c r="B41" s="46">
        <v>770.5</v>
      </c>
      <c r="C41" s="44">
        <v>70.0</v>
      </c>
      <c r="D41" s="44">
        <v>420.0</v>
      </c>
      <c r="E41" s="45">
        <v>111.0</v>
      </c>
      <c r="F41" s="44">
        <v>171.0</v>
      </c>
      <c r="G41" s="45">
        <v>170.0</v>
      </c>
      <c r="H41" s="44">
        <v>112.0</v>
      </c>
      <c r="I41" s="44">
        <v>325.0</v>
      </c>
      <c r="J41" s="44">
        <v>360.0</v>
      </c>
      <c r="K41" s="44">
        <v>110.0</v>
      </c>
      <c r="L41" s="44">
        <v>120.0</v>
      </c>
      <c r="M41" s="44">
        <v>90.0</v>
      </c>
      <c r="N41" s="45">
        <f t="shared" si="1"/>
        <v>2829.5</v>
      </c>
      <c r="O41" s="11"/>
      <c r="P41" s="55"/>
      <c r="Q41" s="55"/>
      <c r="R41" s="55"/>
      <c r="S41" s="82" t="s">
        <v>37</v>
      </c>
      <c r="T41" s="83">
        <v>9870.0</v>
      </c>
      <c r="U41" s="83">
        <v>67060.0</v>
      </c>
      <c r="V41" s="84">
        <f t="shared" si="2"/>
        <v>0.04426499059</v>
      </c>
      <c r="W41" s="85">
        <f t="shared" si="3"/>
        <v>0.05739740287</v>
      </c>
      <c r="X41" s="86">
        <f t="shared" si="4"/>
        <v>0.1471816284</v>
      </c>
      <c r="Y41" s="55"/>
      <c r="AA41" s="11"/>
      <c r="AB41" s="11"/>
      <c r="AC41" s="11"/>
      <c r="AD41" s="11"/>
      <c r="AE41" s="11"/>
    </row>
    <row r="42" ht="22.5" customHeight="1">
      <c r="A42" s="12">
        <v>45757.0</v>
      </c>
      <c r="B42" s="46">
        <v>793.5</v>
      </c>
      <c r="C42" s="44">
        <v>108.0</v>
      </c>
      <c r="D42" s="44">
        <v>140.0</v>
      </c>
      <c r="E42" s="45">
        <v>414.0</v>
      </c>
      <c r="F42" s="44">
        <v>138.0</v>
      </c>
      <c r="G42" s="45">
        <v>280.0</v>
      </c>
      <c r="H42" s="44">
        <v>88.0</v>
      </c>
      <c r="I42" s="44">
        <v>130.0</v>
      </c>
      <c r="J42" s="44">
        <v>720.0</v>
      </c>
      <c r="K42" s="44">
        <v>170.0</v>
      </c>
      <c r="L42" s="44">
        <v>220.0</v>
      </c>
      <c r="M42" s="44">
        <v>165.0</v>
      </c>
      <c r="N42" s="45">
        <f t="shared" si="1"/>
        <v>3366.5</v>
      </c>
      <c r="O42" s="11"/>
      <c r="P42" s="55"/>
      <c r="Q42" s="55"/>
      <c r="R42" s="55"/>
      <c r="S42" s="82" t="s">
        <v>33</v>
      </c>
      <c r="T42" s="83">
        <v>4726.0</v>
      </c>
      <c r="U42" s="83">
        <v>72885.0</v>
      </c>
      <c r="V42" s="84">
        <f t="shared" si="2"/>
        <v>0.04810995883</v>
      </c>
      <c r="W42" s="85">
        <f t="shared" si="3"/>
        <v>0.02748329544</v>
      </c>
      <c r="X42" s="86">
        <f t="shared" si="4"/>
        <v>0.06484187419</v>
      </c>
      <c r="Y42" s="55"/>
      <c r="AA42" s="11"/>
      <c r="AB42" s="11"/>
      <c r="AC42" s="11"/>
      <c r="AD42" s="11"/>
      <c r="AE42" s="11"/>
    </row>
    <row r="43" ht="22.5" customHeight="1">
      <c r="A43" s="12">
        <v>45758.0</v>
      </c>
      <c r="B43" s="46">
        <v>345.0</v>
      </c>
      <c r="C43" s="44">
        <v>46.0</v>
      </c>
      <c r="D43" s="44">
        <v>287.0</v>
      </c>
      <c r="E43" s="45">
        <v>534.0</v>
      </c>
      <c r="F43" s="44">
        <v>111.0</v>
      </c>
      <c r="G43" s="45">
        <v>310.0</v>
      </c>
      <c r="H43" s="44">
        <v>56.0</v>
      </c>
      <c r="I43" s="44">
        <v>0.0</v>
      </c>
      <c r="J43" s="44">
        <v>1080.0</v>
      </c>
      <c r="K43" s="44">
        <v>150.0</v>
      </c>
      <c r="L43" s="44">
        <v>80.0</v>
      </c>
      <c r="M43" s="44">
        <v>60.0</v>
      </c>
      <c r="N43" s="45">
        <f t="shared" si="1"/>
        <v>3059</v>
      </c>
      <c r="O43" s="11"/>
      <c r="P43" s="55"/>
      <c r="Q43" s="55"/>
      <c r="R43" s="55"/>
      <c r="S43" s="82" t="s">
        <v>38</v>
      </c>
      <c r="T43" s="83">
        <v>6960.0</v>
      </c>
      <c r="U43" s="83">
        <v>60320.0</v>
      </c>
      <c r="V43" s="84">
        <f t="shared" si="2"/>
        <v>0.0398160488</v>
      </c>
      <c r="W43" s="85">
        <f t="shared" si="3"/>
        <v>0.04047476433</v>
      </c>
      <c r="X43" s="86">
        <f t="shared" si="4"/>
        <v>0.1153846154</v>
      </c>
      <c r="Y43" s="55"/>
      <c r="AA43" s="11"/>
      <c r="AB43" s="11"/>
      <c r="AC43" s="11"/>
      <c r="AD43" s="11"/>
      <c r="AE43" s="11"/>
    </row>
    <row r="44" ht="22.5" customHeight="1">
      <c r="A44" s="12">
        <v>45759.0</v>
      </c>
      <c r="B44" s="46">
        <v>517.5</v>
      </c>
      <c r="C44" s="44">
        <v>128.0</v>
      </c>
      <c r="D44" s="44">
        <v>147.0</v>
      </c>
      <c r="E44" s="45">
        <v>144.0</v>
      </c>
      <c r="F44" s="44">
        <v>174.0</v>
      </c>
      <c r="G44" s="45">
        <v>180.0</v>
      </c>
      <c r="H44" s="44">
        <v>88.0</v>
      </c>
      <c r="I44" s="44">
        <v>195.0</v>
      </c>
      <c r="J44" s="44">
        <v>1080.0</v>
      </c>
      <c r="K44" s="44">
        <v>100.0</v>
      </c>
      <c r="L44" s="44">
        <v>240.0</v>
      </c>
      <c r="M44" s="44">
        <v>180.0</v>
      </c>
      <c r="N44" s="45">
        <f t="shared" si="1"/>
        <v>3173.5</v>
      </c>
      <c r="O44" s="11"/>
      <c r="P44" s="55"/>
      <c r="Q44" s="55"/>
      <c r="R44" s="55"/>
      <c r="S44" s="87" t="s">
        <v>63</v>
      </c>
      <c r="T44" s="88">
        <f t="shared" ref="T44:U44" si="5">SUM(T32:T43)</f>
        <v>171959</v>
      </c>
      <c r="U44" s="88">
        <f t="shared" si="5"/>
        <v>1514967</v>
      </c>
      <c r="V44" s="89"/>
      <c r="W44" s="90" t="s">
        <v>64</v>
      </c>
      <c r="X44" s="91">
        <f>AVERAGE(X32:X43)</f>
        <v>0.1283921129</v>
      </c>
      <c r="Y44" s="55"/>
      <c r="AA44" s="11"/>
      <c r="AB44" s="11"/>
      <c r="AC44" s="11"/>
      <c r="AD44" s="11"/>
      <c r="AE44" s="11"/>
    </row>
    <row r="45" ht="22.5" customHeight="1">
      <c r="A45" s="12">
        <v>45760.0</v>
      </c>
      <c r="B45" s="46">
        <v>207.0</v>
      </c>
      <c r="C45" s="44">
        <v>104.0</v>
      </c>
      <c r="D45" s="44">
        <v>266.0</v>
      </c>
      <c r="E45" s="45">
        <v>426.0</v>
      </c>
      <c r="F45" s="44">
        <v>129.0</v>
      </c>
      <c r="G45" s="45">
        <v>320.0</v>
      </c>
      <c r="H45" s="44">
        <v>112.0</v>
      </c>
      <c r="I45" s="44">
        <v>130.0</v>
      </c>
      <c r="J45" s="44">
        <v>1530.0</v>
      </c>
      <c r="K45" s="44">
        <v>150.0</v>
      </c>
      <c r="L45" s="44">
        <v>220.0</v>
      </c>
      <c r="M45" s="44">
        <v>165.0</v>
      </c>
      <c r="N45" s="45">
        <f t="shared" si="1"/>
        <v>3759</v>
      </c>
      <c r="O45" s="11"/>
      <c r="P45" s="55"/>
      <c r="Q45" s="55"/>
      <c r="R45" s="55"/>
      <c r="S45" s="55"/>
      <c r="T45" s="55"/>
      <c r="U45" s="55"/>
      <c r="V45" s="55"/>
      <c r="W45" s="55"/>
      <c r="X45" s="55"/>
      <c r="Z45" s="11"/>
      <c r="AA45" s="11"/>
      <c r="AB45" s="11"/>
      <c r="AC45" s="11"/>
      <c r="AD45" s="11"/>
      <c r="AE45" s="11"/>
    </row>
    <row r="46" ht="22.5" customHeight="1">
      <c r="A46" s="12">
        <v>45761.0</v>
      </c>
      <c r="B46" s="43">
        <v>253.0</v>
      </c>
      <c r="C46" s="44">
        <v>70.0</v>
      </c>
      <c r="D46" s="44">
        <v>203.0</v>
      </c>
      <c r="E46" s="45">
        <v>426.0</v>
      </c>
      <c r="F46" s="44">
        <v>138.0</v>
      </c>
      <c r="G46" s="45">
        <v>220.0</v>
      </c>
      <c r="H46" s="44">
        <v>56.0</v>
      </c>
      <c r="I46" s="44">
        <v>195.0</v>
      </c>
      <c r="J46" s="44">
        <v>900.0</v>
      </c>
      <c r="K46" s="44">
        <v>160.0</v>
      </c>
      <c r="L46" s="44">
        <v>240.0</v>
      </c>
      <c r="M46" s="44">
        <v>180.0</v>
      </c>
      <c r="N46" s="45">
        <f t="shared" si="1"/>
        <v>3041</v>
      </c>
      <c r="O46" s="11"/>
      <c r="P46" s="55"/>
      <c r="Q46" s="55"/>
      <c r="R46" s="55"/>
      <c r="S46" s="55"/>
      <c r="T46" s="55"/>
      <c r="U46" s="55"/>
      <c r="V46" s="55"/>
      <c r="W46" s="55"/>
      <c r="X46" s="55"/>
      <c r="Z46" s="11"/>
      <c r="AA46" s="11"/>
      <c r="AB46" s="11"/>
      <c r="AC46" s="11"/>
      <c r="AD46" s="11"/>
      <c r="AE46" s="11"/>
    </row>
    <row r="47" ht="22.5" customHeight="1">
      <c r="A47" s="12">
        <v>45762.0</v>
      </c>
      <c r="B47" s="43">
        <v>667.0</v>
      </c>
      <c r="C47" s="44">
        <v>182.0</v>
      </c>
      <c r="D47" s="44">
        <v>364.0</v>
      </c>
      <c r="E47" s="45">
        <v>336.0</v>
      </c>
      <c r="F47" s="44">
        <v>180.0</v>
      </c>
      <c r="G47" s="45">
        <v>180.0</v>
      </c>
      <c r="H47" s="44">
        <v>40.0</v>
      </c>
      <c r="I47" s="44">
        <v>455.0</v>
      </c>
      <c r="J47" s="44">
        <v>360.0</v>
      </c>
      <c r="K47" s="44">
        <v>120.0</v>
      </c>
      <c r="L47" s="44">
        <v>140.0</v>
      </c>
      <c r="M47" s="44">
        <v>105.0</v>
      </c>
      <c r="N47" s="45">
        <f t="shared" si="1"/>
        <v>3129</v>
      </c>
      <c r="O47" s="11"/>
      <c r="P47" s="11"/>
      <c r="Q47" s="11"/>
      <c r="R47" s="11"/>
      <c r="S47" s="11"/>
      <c r="T47" s="55"/>
      <c r="U47" s="55"/>
      <c r="V47" s="55"/>
      <c r="W47" s="55"/>
      <c r="X47" s="55"/>
      <c r="Z47" s="11"/>
      <c r="AA47" s="11"/>
      <c r="AB47" s="11"/>
      <c r="AC47" s="11"/>
      <c r="AD47" s="11"/>
      <c r="AE47" s="11"/>
    </row>
    <row r="48" ht="22.5" customHeight="1">
      <c r="A48" s="12">
        <v>45763.0</v>
      </c>
      <c r="B48" s="43">
        <v>563.5</v>
      </c>
      <c r="C48" s="44">
        <v>142.0</v>
      </c>
      <c r="D48" s="44">
        <v>203.0</v>
      </c>
      <c r="E48" s="45">
        <v>426.0</v>
      </c>
      <c r="F48" s="44">
        <v>99.0</v>
      </c>
      <c r="G48" s="45">
        <v>160.0</v>
      </c>
      <c r="H48" s="44">
        <v>72.0</v>
      </c>
      <c r="I48" s="44">
        <v>520.0</v>
      </c>
      <c r="J48" s="44">
        <v>540.0</v>
      </c>
      <c r="K48" s="44">
        <v>150.0</v>
      </c>
      <c r="L48" s="44">
        <v>80.0</v>
      </c>
      <c r="M48" s="44">
        <v>60.0</v>
      </c>
      <c r="N48" s="45">
        <f t="shared" si="1"/>
        <v>3015.5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ht="22.5" customHeight="1">
      <c r="A49" s="12">
        <v>45764.0</v>
      </c>
      <c r="B49" s="43">
        <v>333.5</v>
      </c>
      <c r="C49" s="44">
        <v>64.0</v>
      </c>
      <c r="D49" s="44">
        <v>497.0</v>
      </c>
      <c r="E49" s="45">
        <v>360.0</v>
      </c>
      <c r="F49" s="44">
        <v>93.0</v>
      </c>
      <c r="G49" s="45">
        <v>200.0</v>
      </c>
      <c r="H49" s="44">
        <v>96.0</v>
      </c>
      <c r="I49" s="44">
        <v>260.0</v>
      </c>
      <c r="J49" s="44">
        <v>720.0</v>
      </c>
      <c r="K49" s="44">
        <v>230.0</v>
      </c>
      <c r="L49" s="44">
        <v>120.0</v>
      </c>
      <c r="M49" s="44">
        <v>90.0</v>
      </c>
      <c r="N49" s="45">
        <f t="shared" si="1"/>
        <v>3063.5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 ht="22.5" customHeight="1">
      <c r="A50" s="12">
        <v>45765.0</v>
      </c>
      <c r="B50" s="43">
        <v>356.5</v>
      </c>
      <c r="C50" s="44">
        <v>118.0</v>
      </c>
      <c r="D50" s="44">
        <v>315.0</v>
      </c>
      <c r="E50" s="45">
        <v>330.0</v>
      </c>
      <c r="F50" s="44">
        <v>105.0</v>
      </c>
      <c r="G50" s="45">
        <v>240.0</v>
      </c>
      <c r="H50" s="44">
        <v>144.0</v>
      </c>
      <c r="I50" s="44">
        <v>487.5</v>
      </c>
      <c r="J50" s="44">
        <v>180.0</v>
      </c>
      <c r="K50" s="44">
        <v>170.0</v>
      </c>
      <c r="L50" s="44">
        <v>180.0</v>
      </c>
      <c r="M50" s="44">
        <v>135.0</v>
      </c>
      <c r="N50" s="45">
        <f t="shared" si="1"/>
        <v>2761</v>
      </c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ht="22.5" customHeight="1">
      <c r="A51" s="12">
        <v>45766.0</v>
      </c>
      <c r="B51" s="43">
        <v>310.5</v>
      </c>
      <c r="C51" s="44">
        <v>118.0</v>
      </c>
      <c r="D51" s="44">
        <v>287.0</v>
      </c>
      <c r="E51" s="45">
        <v>384.0</v>
      </c>
      <c r="F51" s="44">
        <v>99.0</v>
      </c>
      <c r="G51" s="45">
        <v>180.0</v>
      </c>
      <c r="H51" s="44">
        <v>56.0</v>
      </c>
      <c r="I51" s="44">
        <v>195.0</v>
      </c>
      <c r="J51" s="44">
        <v>360.0</v>
      </c>
      <c r="K51" s="44">
        <v>180.0</v>
      </c>
      <c r="L51" s="44">
        <v>200.0</v>
      </c>
      <c r="M51" s="44">
        <v>150.0</v>
      </c>
      <c r="N51" s="45">
        <f t="shared" si="1"/>
        <v>2519.5</v>
      </c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 ht="22.5" customHeight="1">
      <c r="A52" s="12">
        <v>45767.0</v>
      </c>
      <c r="B52" s="43">
        <v>713.0</v>
      </c>
      <c r="C52" s="44">
        <v>82.0</v>
      </c>
      <c r="D52" s="44">
        <v>133.0</v>
      </c>
      <c r="E52" s="45">
        <v>438.0</v>
      </c>
      <c r="F52" s="44">
        <v>114.0</v>
      </c>
      <c r="G52" s="45">
        <v>320.0</v>
      </c>
      <c r="H52" s="44">
        <v>48.0</v>
      </c>
      <c r="I52" s="44">
        <v>325.0</v>
      </c>
      <c r="J52" s="44">
        <v>540.0</v>
      </c>
      <c r="K52" s="44">
        <v>190.0</v>
      </c>
      <c r="L52" s="44">
        <v>100.0</v>
      </c>
      <c r="M52" s="44">
        <v>75.0</v>
      </c>
      <c r="N52" s="45">
        <f t="shared" si="1"/>
        <v>3078</v>
      </c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 ht="22.5" customHeight="1">
      <c r="A53" s="12">
        <v>45768.0</v>
      </c>
      <c r="B53" s="43">
        <v>529.0</v>
      </c>
      <c r="C53" s="44">
        <v>96.0</v>
      </c>
      <c r="D53" s="44">
        <v>175.0</v>
      </c>
      <c r="E53" s="45">
        <v>72.0</v>
      </c>
      <c r="F53" s="44">
        <v>141.0</v>
      </c>
      <c r="G53" s="45">
        <v>260.0</v>
      </c>
      <c r="H53" s="44">
        <v>104.0</v>
      </c>
      <c r="I53" s="44">
        <v>130.0</v>
      </c>
      <c r="J53" s="44">
        <v>720.0</v>
      </c>
      <c r="K53" s="44">
        <v>250.0</v>
      </c>
      <c r="L53" s="44">
        <v>60.0</v>
      </c>
      <c r="M53" s="44">
        <v>45.0</v>
      </c>
      <c r="N53" s="45">
        <f t="shared" si="1"/>
        <v>2582</v>
      </c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 ht="22.5" customHeight="1">
      <c r="A54" s="12">
        <v>45769.0</v>
      </c>
      <c r="B54" s="43">
        <v>264.5</v>
      </c>
      <c r="C54" s="44">
        <v>186.0</v>
      </c>
      <c r="D54" s="44">
        <v>245.0</v>
      </c>
      <c r="E54" s="45">
        <v>360.0</v>
      </c>
      <c r="F54" s="44">
        <v>165.0</v>
      </c>
      <c r="G54" s="45">
        <v>160.0</v>
      </c>
      <c r="H54" s="44">
        <v>72.0</v>
      </c>
      <c r="I54" s="44">
        <v>325.0</v>
      </c>
      <c r="J54" s="44">
        <v>1080.0</v>
      </c>
      <c r="K54" s="44">
        <v>250.0</v>
      </c>
      <c r="L54" s="44">
        <v>120.0</v>
      </c>
      <c r="M54" s="44">
        <v>90.0</v>
      </c>
      <c r="N54" s="45">
        <f t="shared" si="1"/>
        <v>3317.5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 ht="22.5" customHeight="1">
      <c r="A55" s="12">
        <v>45770.0</v>
      </c>
      <c r="B55" s="43">
        <v>402.5</v>
      </c>
      <c r="C55" s="44">
        <v>48.0</v>
      </c>
      <c r="D55" s="44">
        <v>301.0</v>
      </c>
      <c r="E55" s="45">
        <v>360.0</v>
      </c>
      <c r="F55" s="44">
        <v>123.0</v>
      </c>
      <c r="G55" s="45">
        <v>240.0</v>
      </c>
      <c r="H55" s="44">
        <v>88.0</v>
      </c>
      <c r="I55" s="44">
        <v>195.0</v>
      </c>
      <c r="J55" s="44">
        <v>1080.0</v>
      </c>
      <c r="K55" s="44">
        <v>150.0</v>
      </c>
      <c r="L55" s="44">
        <v>80.0</v>
      </c>
      <c r="M55" s="44">
        <v>60.0</v>
      </c>
      <c r="N55" s="45">
        <f t="shared" si="1"/>
        <v>3127.5</v>
      </c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 ht="22.5" customHeight="1">
      <c r="A56" s="12">
        <v>45771.0</v>
      </c>
      <c r="B56" s="43">
        <v>586.5</v>
      </c>
      <c r="C56" s="44">
        <v>54.0</v>
      </c>
      <c r="D56" s="44">
        <v>252.0</v>
      </c>
      <c r="E56" s="45">
        <v>96.0</v>
      </c>
      <c r="F56" s="44">
        <v>117.0</v>
      </c>
      <c r="G56" s="45">
        <v>180.0</v>
      </c>
      <c r="H56" s="44">
        <v>40.0</v>
      </c>
      <c r="I56" s="44">
        <v>65.0</v>
      </c>
      <c r="J56" s="44">
        <v>900.0</v>
      </c>
      <c r="K56" s="44">
        <v>200.0</v>
      </c>
      <c r="L56" s="44">
        <v>200.0</v>
      </c>
      <c r="M56" s="44">
        <v>150.0</v>
      </c>
      <c r="N56" s="45">
        <f t="shared" si="1"/>
        <v>2840.5</v>
      </c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 ht="22.5" customHeight="1">
      <c r="A57" s="12">
        <v>45772.0</v>
      </c>
      <c r="B57" s="43">
        <v>448.5</v>
      </c>
      <c r="C57" s="44">
        <v>62.0</v>
      </c>
      <c r="D57" s="44">
        <v>203.0</v>
      </c>
      <c r="E57" s="45">
        <v>180.0</v>
      </c>
      <c r="F57" s="44">
        <v>135.0</v>
      </c>
      <c r="G57" s="45">
        <v>280.0</v>
      </c>
      <c r="H57" s="44">
        <v>40.0</v>
      </c>
      <c r="I57" s="44">
        <v>260.0</v>
      </c>
      <c r="J57" s="44">
        <v>360.0</v>
      </c>
      <c r="K57" s="44">
        <v>140.0</v>
      </c>
      <c r="L57" s="44">
        <v>120.0</v>
      </c>
      <c r="M57" s="44">
        <v>90.0</v>
      </c>
      <c r="N57" s="45">
        <f t="shared" si="1"/>
        <v>2318.5</v>
      </c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 ht="22.5" customHeight="1">
      <c r="A58" s="12">
        <v>45773.0</v>
      </c>
      <c r="B58" s="43">
        <v>448.5</v>
      </c>
      <c r="C58" s="44">
        <v>78.0</v>
      </c>
      <c r="D58" s="44">
        <v>602.0</v>
      </c>
      <c r="E58" s="45">
        <v>492.0</v>
      </c>
      <c r="F58" s="44">
        <v>129.0</v>
      </c>
      <c r="G58" s="45">
        <v>300.0</v>
      </c>
      <c r="H58" s="44">
        <v>72.0</v>
      </c>
      <c r="I58" s="44">
        <v>390.0</v>
      </c>
      <c r="J58" s="44">
        <v>540.0</v>
      </c>
      <c r="K58" s="44">
        <v>180.0</v>
      </c>
      <c r="L58" s="44">
        <v>80.0</v>
      </c>
      <c r="M58" s="44">
        <v>60.0</v>
      </c>
      <c r="N58" s="45">
        <f t="shared" si="1"/>
        <v>3371.5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 ht="22.5" customHeight="1">
      <c r="A59" s="12">
        <v>45774.0</v>
      </c>
      <c r="B59" s="43">
        <v>460.0</v>
      </c>
      <c r="C59" s="44">
        <v>68.0</v>
      </c>
      <c r="D59" s="44">
        <v>259.0</v>
      </c>
      <c r="E59" s="45">
        <v>288.0</v>
      </c>
      <c r="F59" s="44">
        <v>180.0</v>
      </c>
      <c r="G59" s="45">
        <v>290.0</v>
      </c>
      <c r="H59" s="44">
        <v>128.0</v>
      </c>
      <c r="I59" s="44">
        <v>195.0</v>
      </c>
      <c r="J59" s="44">
        <v>1260.0</v>
      </c>
      <c r="K59" s="44">
        <v>150.0</v>
      </c>
      <c r="L59" s="44">
        <v>160.0</v>
      </c>
      <c r="M59" s="44">
        <v>120.0</v>
      </c>
      <c r="N59" s="45">
        <f t="shared" si="1"/>
        <v>3558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 ht="22.5" customHeight="1">
      <c r="A60" s="12">
        <v>45775.0</v>
      </c>
      <c r="B60" s="46">
        <v>644.0</v>
      </c>
      <c r="C60" s="44">
        <v>44.0</v>
      </c>
      <c r="D60" s="44">
        <v>217.0</v>
      </c>
      <c r="E60" s="45">
        <v>162.0</v>
      </c>
      <c r="F60" s="44">
        <v>147.0</v>
      </c>
      <c r="G60" s="45">
        <v>220.0</v>
      </c>
      <c r="H60" s="44">
        <v>56.0</v>
      </c>
      <c r="I60" s="44">
        <v>130.0</v>
      </c>
      <c r="J60" s="44">
        <v>720.0</v>
      </c>
      <c r="K60" s="44">
        <v>110.0</v>
      </c>
      <c r="L60" s="44">
        <v>160.0</v>
      </c>
      <c r="M60" s="44">
        <v>120.0</v>
      </c>
      <c r="N60" s="45">
        <f t="shared" si="1"/>
        <v>2730</v>
      </c>
      <c r="O60" s="11"/>
      <c r="P60" s="11"/>
      <c r="Q60" s="11"/>
      <c r="R60" s="79" t="s">
        <v>46</v>
      </c>
      <c r="S60" s="79" t="s">
        <v>3</v>
      </c>
      <c r="T60" s="79" t="s">
        <v>61</v>
      </c>
      <c r="U60" s="81" t="s">
        <v>65</v>
      </c>
      <c r="V60" s="11"/>
      <c r="W60" s="11"/>
      <c r="X60" s="11"/>
      <c r="Y60" s="79" t="s">
        <v>46</v>
      </c>
      <c r="Z60" s="79" t="s">
        <v>1</v>
      </c>
      <c r="AA60" s="80" t="s">
        <v>60</v>
      </c>
      <c r="AB60" s="81" t="s">
        <v>65</v>
      </c>
      <c r="AC60" s="11"/>
    </row>
    <row r="61" ht="22.5" customHeight="1">
      <c r="A61" s="12">
        <v>45776.0</v>
      </c>
      <c r="B61" s="46">
        <v>839.5</v>
      </c>
      <c r="C61" s="44">
        <v>60.0</v>
      </c>
      <c r="D61" s="44">
        <v>154.0</v>
      </c>
      <c r="E61" s="45">
        <v>78.0</v>
      </c>
      <c r="F61" s="44">
        <v>150.0</v>
      </c>
      <c r="G61" s="45">
        <v>280.0</v>
      </c>
      <c r="H61" s="44">
        <v>56.0</v>
      </c>
      <c r="I61" s="44">
        <v>260.0</v>
      </c>
      <c r="J61" s="44">
        <v>900.0</v>
      </c>
      <c r="K61" s="44">
        <v>90.0</v>
      </c>
      <c r="L61" s="44">
        <v>240.0</v>
      </c>
      <c r="M61" s="44">
        <v>180.0</v>
      </c>
      <c r="N61" s="45">
        <f t="shared" si="1"/>
        <v>3287.5</v>
      </c>
      <c r="O61" s="11"/>
      <c r="P61" s="11"/>
      <c r="Q61" s="11"/>
      <c r="R61" s="82" t="s">
        <v>35</v>
      </c>
      <c r="S61" s="83">
        <v>34020.0</v>
      </c>
      <c r="T61" s="85">
        <f t="shared" ref="T61:T72" si="6">S61/$G$81</f>
        <v>0.1978378567</v>
      </c>
      <c r="U61" s="92">
        <v>0.1978</v>
      </c>
      <c r="V61" s="11"/>
      <c r="W61" s="11"/>
      <c r="X61" s="11"/>
      <c r="Y61" s="82" t="s">
        <v>35</v>
      </c>
      <c r="Z61" s="83">
        <v>336860.0</v>
      </c>
      <c r="AA61" s="84">
        <f t="shared" ref="AA61:AA72" si="7">Z61/$U$44</f>
        <v>0.2223546784</v>
      </c>
      <c r="AB61" s="92">
        <v>0.2224</v>
      </c>
      <c r="AC61" s="11"/>
    </row>
    <row r="62" ht="22.5" customHeight="1">
      <c r="A62" s="12">
        <v>45777.0</v>
      </c>
      <c r="B62" s="46">
        <v>782.0</v>
      </c>
      <c r="C62" s="44">
        <v>156.0</v>
      </c>
      <c r="D62" s="44">
        <v>441.0</v>
      </c>
      <c r="E62" s="45">
        <v>588.0</v>
      </c>
      <c r="F62" s="44">
        <v>129.0</v>
      </c>
      <c r="G62" s="45">
        <v>220.0</v>
      </c>
      <c r="H62" s="44">
        <v>80.0</v>
      </c>
      <c r="I62" s="44">
        <v>195.0</v>
      </c>
      <c r="J62" s="44">
        <v>360.0</v>
      </c>
      <c r="K62" s="44">
        <v>120.0</v>
      </c>
      <c r="L62" s="44">
        <v>120.0</v>
      </c>
      <c r="M62" s="44">
        <v>90.0</v>
      </c>
      <c r="N62" s="45">
        <f t="shared" si="1"/>
        <v>3281</v>
      </c>
      <c r="O62" s="11"/>
      <c r="P62" s="11"/>
      <c r="Q62" s="11"/>
      <c r="R62" s="82" t="s">
        <v>27</v>
      </c>
      <c r="S62" s="83">
        <v>32591.0</v>
      </c>
      <c r="T62" s="85">
        <f t="shared" si="6"/>
        <v>0.1895277363</v>
      </c>
      <c r="U62" s="92">
        <f t="shared" ref="U62:U72" si="9">U61+T62</f>
        <v>0.3873277363</v>
      </c>
      <c r="V62" s="11"/>
      <c r="W62" s="11"/>
      <c r="X62" s="11"/>
      <c r="Y62" s="82" t="s">
        <v>27</v>
      </c>
      <c r="Z62" s="83">
        <v>170040.0</v>
      </c>
      <c r="AA62" s="84">
        <f t="shared" si="7"/>
        <v>0.1122400686</v>
      </c>
      <c r="AB62" s="92">
        <f t="shared" ref="AB62:AB72" si="10">AB61+AA62</f>
        <v>0.3346400686</v>
      </c>
      <c r="AC62" s="11"/>
    </row>
    <row r="63" ht="22.5" customHeight="1">
      <c r="A63" s="15"/>
      <c r="B63" s="47">
        <f t="shared" ref="B63:N63" si="8">SUM(B2:B62)</f>
        <v>32591</v>
      </c>
      <c r="C63" s="47">
        <f t="shared" si="8"/>
        <v>5654</v>
      </c>
      <c r="D63" s="47">
        <f t="shared" si="8"/>
        <v>18932</v>
      </c>
      <c r="E63" s="47">
        <f t="shared" si="8"/>
        <v>12894.5</v>
      </c>
      <c r="F63" s="47">
        <f t="shared" si="8"/>
        <v>7794</v>
      </c>
      <c r="G63" s="47">
        <f t="shared" si="8"/>
        <v>14350</v>
      </c>
      <c r="H63" s="47">
        <f t="shared" si="8"/>
        <v>4726</v>
      </c>
      <c r="I63" s="47">
        <f t="shared" si="8"/>
        <v>12297.5</v>
      </c>
      <c r="J63" s="47">
        <f t="shared" si="8"/>
        <v>34020</v>
      </c>
      <c r="K63" s="47">
        <f t="shared" si="8"/>
        <v>11870</v>
      </c>
      <c r="L63" s="47">
        <f t="shared" si="8"/>
        <v>9870</v>
      </c>
      <c r="M63" s="47">
        <f t="shared" si="8"/>
        <v>6960</v>
      </c>
      <c r="N63" s="48">
        <f t="shared" si="8"/>
        <v>171959</v>
      </c>
      <c r="O63" s="11"/>
      <c r="P63" s="11"/>
      <c r="Q63" s="11"/>
      <c r="R63" s="82" t="s">
        <v>29</v>
      </c>
      <c r="S63" s="83">
        <v>18932.0</v>
      </c>
      <c r="T63" s="85">
        <f t="shared" si="6"/>
        <v>0.1100960113</v>
      </c>
      <c r="U63" s="92">
        <f t="shared" si="9"/>
        <v>0.4974237475</v>
      </c>
      <c r="V63" s="11"/>
      <c r="W63" s="11"/>
      <c r="X63" s="11"/>
      <c r="Y63" s="82" t="s">
        <v>29</v>
      </c>
      <c r="Z63" s="83">
        <v>155880.0</v>
      </c>
      <c r="AA63" s="84">
        <f t="shared" si="7"/>
        <v>0.1028933303</v>
      </c>
      <c r="AB63" s="92">
        <f t="shared" si="10"/>
        <v>0.4375333989</v>
      </c>
      <c r="AC63" s="11"/>
    </row>
    <row r="64" ht="22.5" customHeight="1">
      <c r="A64" s="93"/>
      <c r="B64" s="94" t="s">
        <v>27</v>
      </c>
      <c r="C64" s="94" t="s">
        <v>28</v>
      </c>
      <c r="D64" s="94" t="s">
        <v>29</v>
      </c>
      <c r="E64" s="94" t="s">
        <v>30</v>
      </c>
      <c r="F64" s="95" t="s">
        <v>31</v>
      </c>
      <c r="G64" s="94" t="s">
        <v>32</v>
      </c>
      <c r="H64" s="94" t="s">
        <v>33</v>
      </c>
      <c r="I64" s="95" t="s">
        <v>34</v>
      </c>
      <c r="J64" s="94" t="s">
        <v>35</v>
      </c>
      <c r="K64" s="94" t="s">
        <v>36</v>
      </c>
      <c r="L64" s="95" t="s">
        <v>37</v>
      </c>
      <c r="M64" s="95" t="s">
        <v>38</v>
      </c>
      <c r="N64" s="64" t="s">
        <v>66</v>
      </c>
      <c r="O64" s="11"/>
      <c r="P64" s="11"/>
      <c r="Q64" s="11"/>
      <c r="R64" s="82" t="s">
        <v>32</v>
      </c>
      <c r="S64" s="83">
        <v>14350.0</v>
      </c>
      <c r="T64" s="85">
        <f t="shared" si="6"/>
        <v>0.08345012474</v>
      </c>
      <c r="U64" s="92">
        <f t="shared" si="9"/>
        <v>0.5808738723</v>
      </c>
      <c r="V64" s="11"/>
      <c r="W64" s="11"/>
      <c r="X64" s="11"/>
      <c r="Y64" s="82" t="s">
        <v>32</v>
      </c>
      <c r="Z64" s="83">
        <v>151200.0</v>
      </c>
      <c r="AA64" s="84">
        <f t="shared" si="7"/>
        <v>0.09980415415</v>
      </c>
      <c r="AB64" s="92">
        <f t="shared" si="10"/>
        <v>0.5373375531</v>
      </c>
      <c r="AC64" s="11"/>
    </row>
    <row r="65" ht="22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82" t="s">
        <v>41</v>
      </c>
      <c r="S65" s="83">
        <v>12894.5</v>
      </c>
      <c r="T65" s="85">
        <f t="shared" si="6"/>
        <v>0.0749858978</v>
      </c>
      <c r="U65" s="92">
        <f t="shared" si="9"/>
        <v>0.6558597701</v>
      </c>
      <c r="V65" s="11"/>
      <c r="W65" s="11"/>
      <c r="X65" s="11"/>
      <c r="Y65" s="82" t="s">
        <v>41</v>
      </c>
      <c r="Z65" s="83">
        <v>134010.0</v>
      </c>
      <c r="AA65" s="84">
        <f t="shared" si="7"/>
        <v>0.08845737234</v>
      </c>
      <c r="AB65" s="92">
        <f t="shared" si="10"/>
        <v>0.6257949254</v>
      </c>
      <c r="AC65" s="11"/>
    </row>
    <row r="66" ht="22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82" t="s">
        <v>34</v>
      </c>
      <c r="S66" s="83">
        <v>12297.5</v>
      </c>
      <c r="T66" s="85">
        <f t="shared" si="6"/>
        <v>0.07151414</v>
      </c>
      <c r="U66" s="92">
        <f t="shared" si="9"/>
        <v>0.7273739101</v>
      </c>
      <c r="V66" s="11"/>
      <c r="W66" s="11"/>
      <c r="X66" s="11"/>
      <c r="Y66" s="82" t="s">
        <v>34</v>
      </c>
      <c r="Z66" s="83">
        <v>125521.0</v>
      </c>
      <c r="AA66" s="84">
        <f t="shared" si="7"/>
        <v>0.08285394995</v>
      </c>
      <c r="AB66" s="92">
        <f t="shared" si="10"/>
        <v>0.7086488754</v>
      </c>
      <c r="AC66" s="11"/>
    </row>
    <row r="67" ht="22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82" t="s">
        <v>36</v>
      </c>
      <c r="S67" s="83">
        <v>11870.0</v>
      </c>
      <c r="T67" s="85">
        <f t="shared" si="6"/>
        <v>0.06902808228</v>
      </c>
      <c r="U67" s="92">
        <f t="shared" si="9"/>
        <v>0.7964019923</v>
      </c>
      <c r="V67" s="11"/>
      <c r="W67" s="11"/>
      <c r="X67" s="11"/>
      <c r="Y67" s="82" t="s">
        <v>36</v>
      </c>
      <c r="Z67" s="83">
        <v>124441.0</v>
      </c>
      <c r="AA67" s="84">
        <f t="shared" si="7"/>
        <v>0.08214106314</v>
      </c>
      <c r="AB67" s="92">
        <f t="shared" si="10"/>
        <v>0.7907899385</v>
      </c>
      <c r="AC67" s="11"/>
    </row>
    <row r="68" ht="22.5" customHeight="1">
      <c r="A68" s="11"/>
      <c r="B68" s="11"/>
      <c r="C68" s="11"/>
      <c r="D68" s="11"/>
      <c r="E68" s="11"/>
      <c r="F68" s="79" t="s">
        <v>46</v>
      </c>
      <c r="G68" s="79" t="s">
        <v>3</v>
      </c>
      <c r="H68" s="79" t="s">
        <v>1</v>
      </c>
      <c r="I68" s="79" t="s">
        <v>61</v>
      </c>
      <c r="J68" s="81" t="s">
        <v>62</v>
      </c>
      <c r="K68" s="11"/>
      <c r="L68" s="11"/>
      <c r="M68" s="11"/>
      <c r="N68" s="11"/>
      <c r="O68" s="11"/>
      <c r="P68" s="11"/>
      <c r="Q68" s="11"/>
      <c r="R68" s="82" t="s">
        <v>37</v>
      </c>
      <c r="S68" s="83">
        <v>9870.0</v>
      </c>
      <c r="T68" s="85">
        <f t="shared" si="6"/>
        <v>0.05739740287</v>
      </c>
      <c r="U68" s="92">
        <f t="shared" si="9"/>
        <v>0.8537993952</v>
      </c>
      <c r="V68" s="11"/>
      <c r="W68" s="11"/>
      <c r="X68" s="11"/>
      <c r="Y68" s="82" t="s">
        <v>37</v>
      </c>
      <c r="Z68" s="83">
        <v>72885.0</v>
      </c>
      <c r="AA68" s="84">
        <f t="shared" si="7"/>
        <v>0.04810995883</v>
      </c>
      <c r="AB68" s="92">
        <f t="shared" si="10"/>
        <v>0.8388998974</v>
      </c>
      <c r="AC68" s="11"/>
    </row>
    <row r="69" ht="22.5" customHeight="1">
      <c r="A69" s="11"/>
      <c r="B69" s="11"/>
      <c r="C69" s="11"/>
      <c r="D69" s="11"/>
      <c r="E69" s="11"/>
      <c r="F69" s="82" t="s">
        <v>27</v>
      </c>
      <c r="G69" s="83">
        <v>32591.0</v>
      </c>
      <c r="H69" s="83">
        <v>170040.0</v>
      </c>
      <c r="I69" s="85">
        <f t="shared" ref="I69:I80" si="11">G69/$G$81</f>
        <v>0.1895277363</v>
      </c>
      <c r="J69" s="86">
        <f t="shared" ref="J69:J80" si="12">G69/H69</f>
        <v>0.1916666667</v>
      </c>
      <c r="K69" s="11"/>
      <c r="L69" s="11"/>
      <c r="M69" s="11"/>
      <c r="N69" s="11"/>
      <c r="O69" s="11"/>
      <c r="P69" s="11"/>
      <c r="Q69" s="11"/>
      <c r="R69" s="82" t="s">
        <v>31</v>
      </c>
      <c r="S69" s="83">
        <v>7794.0</v>
      </c>
      <c r="T69" s="85">
        <f t="shared" si="6"/>
        <v>0.04532475765</v>
      </c>
      <c r="U69" s="92">
        <f t="shared" si="9"/>
        <v>0.8991241529</v>
      </c>
      <c r="V69" s="11"/>
      <c r="W69" s="11"/>
      <c r="X69" s="11"/>
      <c r="Y69" s="82" t="s">
        <v>31</v>
      </c>
      <c r="Z69" s="83">
        <v>67060.0</v>
      </c>
      <c r="AA69" s="84">
        <f t="shared" si="7"/>
        <v>0.04426499059</v>
      </c>
      <c r="AB69" s="92">
        <f t="shared" si="10"/>
        <v>0.8831648879</v>
      </c>
      <c r="AC69" s="11"/>
    </row>
    <row r="70" ht="22.5" customHeight="1">
      <c r="A70" s="11"/>
      <c r="B70" s="11"/>
      <c r="C70" s="11"/>
      <c r="D70" s="11"/>
      <c r="E70" s="11"/>
      <c r="F70" s="82" t="s">
        <v>48</v>
      </c>
      <c r="G70" s="83">
        <v>5654.0</v>
      </c>
      <c r="H70" s="83">
        <v>125521.0</v>
      </c>
      <c r="I70" s="85">
        <f t="shared" si="11"/>
        <v>0.03287993068</v>
      </c>
      <c r="J70" s="86">
        <f t="shared" si="12"/>
        <v>0.04504425554</v>
      </c>
      <c r="K70" s="11"/>
      <c r="L70" s="11"/>
      <c r="M70" s="11"/>
      <c r="N70" s="11"/>
      <c r="O70" s="11"/>
      <c r="P70" s="11"/>
      <c r="Q70" s="11"/>
      <c r="R70" s="82" t="s">
        <v>38</v>
      </c>
      <c r="S70" s="83">
        <v>6960.0</v>
      </c>
      <c r="T70" s="85">
        <f t="shared" si="6"/>
        <v>0.04047476433</v>
      </c>
      <c r="U70" s="92">
        <f t="shared" si="9"/>
        <v>0.9395989172</v>
      </c>
      <c r="V70" s="11"/>
      <c r="W70" s="11"/>
      <c r="X70" s="11"/>
      <c r="Y70" s="82" t="s">
        <v>38</v>
      </c>
      <c r="Z70" s="83">
        <v>60320.0</v>
      </c>
      <c r="AA70" s="84">
        <f t="shared" si="7"/>
        <v>0.0398160488</v>
      </c>
      <c r="AB70" s="92">
        <f t="shared" si="10"/>
        <v>0.9229809367</v>
      </c>
      <c r="AC70" s="11"/>
    </row>
    <row r="71" ht="22.5" customHeight="1">
      <c r="A71" s="11"/>
      <c r="B71" s="11"/>
      <c r="C71" s="11"/>
      <c r="D71" s="11"/>
      <c r="E71" s="11"/>
      <c r="F71" s="82" t="s">
        <v>29</v>
      </c>
      <c r="G71" s="83">
        <v>18932.0</v>
      </c>
      <c r="H71" s="83">
        <v>336860.0</v>
      </c>
      <c r="I71" s="85">
        <f t="shared" si="11"/>
        <v>0.1100960113</v>
      </c>
      <c r="J71" s="86">
        <f t="shared" si="12"/>
        <v>0.0562013893</v>
      </c>
      <c r="K71" s="11"/>
      <c r="L71" s="11"/>
      <c r="M71" s="11"/>
      <c r="N71" s="11"/>
      <c r="O71" s="11"/>
      <c r="P71" s="11"/>
      <c r="Q71" s="11"/>
      <c r="R71" s="82" t="s">
        <v>48</v>
      </c>
      <c r="S71" s="83">
        <v>5654.0</v>
      </c>
      <c r="T71" s="85">
        <f t="shared" si="6"/>
        <v>0.03287993068</v>
      </c>
      <c r="U71" s="92">
        <f t="shared" si="9"/>
        <v>0.9724788479</v>
      </c>
      <c r="V71" s="11"/>
      <c r="W71" s="11"/>
      <c r="X71" s="11"/>
      <c r="Y71" s="82" t="s">
        <v>48</v>
      </c>
      <c r="Z71" s="83">
        <v>59350.0</v>
      </c>
      <c r="AA71" s="84">
        <f t="shared" si="7"/>
        <v>0.03917577083</v>
      </c>
      <c r="AB71" s="92">
        <f t="shared" si="10"/>
        <v>0.9621567076</v>
      </c>
      <c r="AC71" s="11"/>
    </row>
    <row r="72" ht="22.5" customHeight="1">
      <c r="A72" s="11"/>
      <c r="B72" s="11"/>
      <c r="C72" s="11"/>
      <c r="D72" s="11"/>
      <c r="E72" s="11"/>
      <c r="F72" s="82" t="s">
        <v>41</v>
      </c>
      <c r="G72" s="83">
        <v>12894.5</v>
      </c>
      <c r="H72" s="83">
        <v>124441.0</v>
      </c>
      <c r="I72" s="85">
        <f t="shared" si="11"/>
        <v>0.0749858978</v>
      </c>
      <c r="J72" s="86">
        <f t="shared" si="12"/>
        <v>0.1036193859</v>
      </c>
      <c r="K72" s="11"/>
      <c r="L72" s="11"/>
      <c r="M72" s="11"/>
      <c r="N72" s="11"/>
      <c r="O72" s="11"/>
      <c r="P72" s="11"/>
      <c r="Q72" s="11"/>
      <c r="R72" s="82" t="s">
        <v>33</v>
      </c>
      <c r="S72" s="83">
        <v>4726.0</v>
      </c>
      <c r="T72" s="85">
        <f t="shared" si="6"/>
        <v>0.02748329544</v>
      </c>
      <c r="U72" s="92">
        <f t="shared" si="9"/>
        <v>0.9999621433</v>
      </c>
      <c r="V72" s="11"/>
      <c r="W72" s="11"/>
      <c r="X72" s="11"/>
      <c r="Y72" s="82" t="s">
        <v>33</v>
      </c>
      <c r="Z72" s="83">
        <v>57400.0</v>
      </c>
      <c r="AA72" s="84">
        <f t="shared" si="7"/>
        <v>0.03788861408</v>
      </c>
      <c r="AB72" s="92">
        <f t="shared" si="10"/>
        <v>1.000045322</v>
      </c>
      <c r="AC72" s="11"/>
    </row>
    <row r="73" ht="22.5" customHeight="1">
      <c r="A73" s="11"/>
      <c r="B73" s="11"/>
      <c r="C73" s="11"/>
      <c r="D73" s="11"/>
      <c r="E73" s="11"/>
      <c r="F73" s="82" t="s">
        <v>31</v>
      </c>
      <c r="G73" s="83">
        <v>7794.0</v>
      </c>
      <c r="H73" s="83">
        <v>155880.0</v>
      </c>
      <c r="I73" s="85">
        <f t="shared" si="11"/>
        <v>0.04532475765</v>
      </c>
      <c r="J73" s="86">
        <f t="shared" si="12"/>
        <v>0.05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ht="22.5" customHeight="1">
      <c r="A74" s="11"/>
      <c r="B74" s="11"/>
      <c r="C74" s="11"/>
      <c r="D74" s="11"/>
      <c r="E74" s="11"/>
      <c r="F74" s="82" t="s">
        <v>34</v>
      </c>
      <c r="G74" s="83">
        <v>12297.5</v>
      </c>
      <c r="H74" s="83">
        <v>134010.0</v>
      </c>
      <c r="I74" s="85">
        <f t="shared" si="11"/>
        <v>0.07151414</v>
      </c>
      <c r="J74" s="86">
        <f t="shared" si="12"/>
        <v>0.09176553989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 ht="22.5" customHeight="1">
      <c r="A75" s="11"/>
      <c r="B75" s="11"/>
      <c r="C75" s="11"/>
      <c r="D75" s="11"/>
      <c r="E75" s="11"/>
      <c r="F75" s="82" t="s">
        <v>35</v>
      </c>
      <c r="G75" s="83">
        <v>34020.0</v>
      </c>
      <c r="H75" s="83">
        <v>151200.0</v>
      </c>
      <c r="I75" s="85">
        <f t="shared" si="11"/>
        <v>0.1978378567</v>
      </c>
      <c r="J75" s="86">
        <f t="shared" si="12"/>
        <v>0.225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 ht="22.5" customHeight="1">
      <c r="A76" s="11"/>
      <c r="B76" s="11"/>
      <c r="C76" s="11"/>
      <c r="D76" s="11"/>
      <c r="E76" s="11"/>
      <c r="F76" s="82" t="s">
        <v>36</v>
      </c>
      <c r="G76" s="83">
        <v>11870.0</v>
      </c>
      <c r="H76" s="83">
        <v>59350.0</v>
      </c>
      <c r="I76" s="85">
        <f t="shared" si="11"/>
        <v>0.06902808228</v>
      </c>
      <c r="J76" s="86">
        <f t="shared" si="12"/>
        <v>0.2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 ht="22.5" customHeight="1">
      <c r="A77" s="11"/>
      <c r="B77" s="11"/>
      <c r="C77" s="11"/>
      <c r="D77" s="11"/>
      <c r="E77" s="11"/>
      <c r="F77" s="82" t="s">
        <v>32</v>
      </c>
      <c r="G77" s="83">
        <v>14350.0</v>
      </c>
      <c r="H77" s="83">
        <v>57400.0</v>
      </c>
      <c r="I77" s="85">
        <f t="shared" si="11"/>
        <v>0.08345012474</v>
      </c>
      <c r="J77" s="86">
        <f t="shared" si="12"/>
        <v>0.25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ht="22.5" customHeight="1">
      <c r="A78" s="11"/>
      <c r="B78" s="11"/>
      <c r="C78" s="11"/>
      <c r="D78" s="11"/>
      <c r="E78" s="11"/>
      <c r="F78" s="82" t="s">
        <v>37</v>
      </c>
      <c r="G78" s="83">
        <v>9870.0</v>
      </c>
      <c r="H78" s="83">
        <v>67060.0</v>
      </c>
      <c r="I78" s="85">
        <f t="shared" si="11"/>
        <v>0.05739740287</v>
      </c>
      <c r="J78" s="86">
        <f t="shared" si="12"/>
        <v>0.1471816284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ht="22.5" customHeight="1">
      <c r="A79" s="11"/>
      <c r="B79" s="11"/>
      <c r="C79" s="11"/>
      <c r="D79" s="11"/>
      <c r="E79" s="11"/>
      <c r="F79" s="82" t="s">
        <v>33</v>
      </c>
      <c r="G79" s="83">
        <v>4726.0</v>
      </c>
      <c r="H79" s="83">
        <v>72885.0</v>
      </c>
      <c r="I79" s="85">
        <f t="shared" si="11"/>
        <v>0.02748329544</v>
      </c>
      <c r="J79" s="86">
        <f t="shared" si="12"/>
        <v>0.06484187419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ht="22.5" customHeight="1">
      <c r="A80" s="11"/>
      <c r="B80" s="11"/>
      <c r="C80" s="11"/>
      <c r="D80" s="11"/>
      <c r="E80" s="11"/>
      <c r="F80" s="82" t="s">
        <v>38</v>
      </c>
      <c r="G80" s="83">
        <v>6960.0</v>
      </c>
      <c r="H80" s="83">
        <v>60320.0</v>
      </c>
      <c r="I80" s="85">
        <f t="shared" si="11"/>
        <v>0.04047476433</v>
      </c>
      <c r="J80" s="86">
        <f t="shared" si="12"/>
        <v>0.1153846154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ht="22.5" customHeight="1">
      <c r="A81" s="11"/>
      <c r="B81" s="11"/>
      <c r="C81" s="11"/>
      <c r="D81" s="11"/>
      <c r="E81" s="11"/>
      <c r="F81" s="87" t="s">
        <v>63</v>
      </c>
      <c r="G81" s="88">
        <f t="shared" ref="G81:H81" si="13">SUM(G69:G80)</f>
        <v>171959</v>
      </c>
      <c r="H81" s="88">
        <f t="shared" si="13"/>
        <v>1514967</v>
      </c>
      <c r="I81" s="96"/>
      <c r="J81" s="96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ht="22.5" customHeight="1">
      <c r="A85" s="8" t="s">
        <v>26</v>
      </c>
      <c r="B85" s="97" t="s">
        <v>50</v>
      </c>
      <c r="C85" s="98" t="s">
        <v>52</v>
      </c>
      <c r="D85" s="97" t="s">
        <v>56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ht="22.5" customHeight="1">
      <c r="A86" s="12">
        <v>45717.0</v>
      </c>
      <c r="B86" s="99">
        <v>26661.0</v>
      </c>
      <c r="C86" s="58">
        <v>23803.5</v>
      </c>
      <c r="D86" s="99">
        <v>2857.5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 ht="22.5" customHeight="1">
      <c r="A87" s="12">
        <v>45718.0</v>
      </c>
      <c r="B87" s="99">
        <v>25762.0</v>
      </c>
      <c r="C87" s="58">
        <v>22633.5</v>
      </c>
      <c r="D87" s="99">
        <v>3128.5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22.5" customHeight="1">
      <c r="A88" s="12">
        <v>45719.0</v>
      </c>
      <c r="B88" s="99">
        <v>20658.0</v>
      </c>
      <c r="C88" s="58">
        <v>18493.5</v>
      </c>
      <c r="D88" s="99">
        <v>2164.5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2.5" customHeight="1">
      <c r="A89" s="12">
        <v>45720.0</v>
      </c>
      <c r="B89" s="99">
        <v>25197.0</v>
      </c>
      <c r="C89" s="58">
        <v>22291.0</v>
      </c>
      <c r="D89" s="99">
        <v>2906.0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22.5" customHeight="1">
      <c r="A90" s="12">
        <v>45721.0</v>
      </c>
      <c r="B90" s="99">
        <v>21356.0</v>
      </c>
      <c r="C90" s="58">
        <v>18823.0</v>
      </c>
      <c r="D90" s="99">
        <v>2533.0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22.5" customHeight="1">
      <c r="A91" s="12">
        <v>45722.0</v>
      </c>
      <c r="B91" s="99">
        <v>25089.0</v>
      </c>
      <c r="C91" s="58">
        <v>22384.5</v>
      </c>
      <c r="D91" s="99">
        <v>2704.5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22.5" customHeight="1">
      <c r="A92" s="12">
        <v>45723.0</v>
      </c>
      <c r="B92" s="99">
        <v>24268.0</v>
      </c>
      <c r="C92" s="58">
        <v>21514.0</v>
      </c>
      <c r="D92" s="99">
        <v>2754.0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22.5" customHeight="1">
      <c r="A93" s="12">
        <v>45724.0</v>
      </c>
      <c r="B93" s="99">
        <v>24272.0</v>
      </c>
      <c r="C93" s="58">
        <v>22019.0</v>
      </c>
      <c r="D93" s="99">
        <v>2253.0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22.5" customHeight="1">
      <c r="A94" s="12">
        <v>45725.0</v>
      </c>
      <c r="B94" s="99">
        <v>23197.0</v>
      </c>
      <c r="C94" s="58">
        <v>20695.5</v>
      </c>
      <c r="D94" s="99">
        <v>2501.5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22.5" customHeight="1">
      <c r="A95" s="12">
        <v>45726.0</v>
      </c>
      <c r="B95" s="99">
        <v>24253.0</v>
      </c>
      <c r="C95" s="58">
        <v>21608.5</v>
      </c>
      <c r="D95" s="99">
        <v>2644.5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22.5" customHeight="1">
      <c r="A96" s="12">
        <v>45727.0</v>
      </c>
      <c r="B96" s="99">
        <v>28373.0</v>
      </c>
      <c r="C96" s="58">
        <v>25280.5</v>
      </c>
      <c r="D96" s="99">
        <v>3092.5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22.5" customHeight="1">
      <c r="A97" s="12">
        <v>45728.0</v>
      </c>
      <c r="B97" s="99">
        <v>27552.0</v>
      </c>
      <c r="C97" s="58">
        <v>24772.5</v>
      </c>
      <c r="D97" s="99">
        <v>2779.5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22.5" customHeight="1">
      <c r="A98" s="12">
        <v>45729.0</v>
      </c>
      <c r="B98" s="99">
        <v>30669.0</v>
      </c>
      <c r="C98" s="58">
        <v>27466.0</v>
      </c>
      <c r="D98" s="99">
        <v>3203.0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22.5" customHeight="1">
      <c r="A99" s="12">
        <v>45730.0</v>
      </c>
      <c r="B99" s="99">
        <v>19241.0</v>
      </c>
      <c r="C99" s="58">
        <v>17227.0</v>
      </c>
      <c r="D99" s="99">
        <v>2014.0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22.5" customHeight="1">
      <c r="A100" s="12">
        <v>45731.0</v>
      </c>
      <c r="B100" s="99">
        <v>20704.0</v>
      </c>
      <c r="C100" s="58">
        <v>18172.0</v>
      </c>
      <c r="D100" s="99">
        <v>2532.0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2.5" customHeight="1">
      <c r="A101" s="12">
        <v>45732.0</v>
      </c>
      <c r="B101" s="99">
        <v>29548.0</v>
      </c>
      <c r="C101" s="58">
        <v>26570.5</v>
      </c>
      <c r="D101" s="99">
        <v>2977.5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22.5" customHeight="1">
      <c r="A102" s="12">
        <v>45733.0</v>
      </c>
      <c r="B102" s="99">
        <v>19670.0</v>
      </c>
      <c r="C102" s="58">
        <v>17611.0</v>
      </c>
      <c r="D102" s="99">
        <v>2059.0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22.5" customHeight="1">
      <c r="A103" s="12">
        <v>45734.0</v>
      </c>
      <c r="B103" s="99">
        <v>24098.0</v>
      </c>
      <c r="C103" s="58">
        <v>21427.5</v>
      </c>
      <c r="D103" s="99">
        <v>2670.5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22.5" customHeight="1">
      <c r="A104" s="12">
        <v>45735.0</v>
      </c>
      <c r="B104" s="99">
        <v>31307.0</v>
      </c>
      <c r="C104" s="58">
        <v>27829.0</v>
      </c>
      <c r="D104" s="99">
        <v>3478.0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22.5" customHeight="1">
      <c r="A105" s="12">
        <v>45736.0</v>
      </c>
      <c r="B105" s="99">
        <v>18945.0</v>
      </c>
      <c r="C105" s="58">
        <v>17043.5</v>
      </c>
      <c r="D105" s="99">
        <v>1901.5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22.5" customHeight="1">
      <c r="A106" s="12">
        <v>45737.0</v>
      </c>
      <c r="B106" s="99">
        <v>26640.0</v>
      </c>
      <c r="C106" s="58">
        <v>23684.5</v>
      </c>
      <c r="D106" s="99">
        <v>2955.5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22.5" customHeight="1">
      <c r="A107" s="12">
        <v>45738.0</v>
      </c>
      <c r="B107" s="99">
        <v>23405.0</v>
      </c>
      <c r="C107" s="58">
        <v>20928.0</v>
      </c>
      <c r="D107" s="99">
        <v>2477.0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22.5" customHeight="1">
      <c r="A108" s="12">
        <v>45739.0</v>
      </c>
      <c r="B108" s="99">
        <v>32615.0</v>
      </c>
      <c r="C108" s="58">
        <v>29034.5</v>
      </c>
      <c r="D108" s="99">
        <v>3580.5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22.5" customHeight="1">
      <c r="A109" s="12">
        <v>45740.0</v>
      </c>
      <c r="B109" s="99">
        <v>21530.0</v>
      </c>
      <c r="C109" s="58">
        <v>19447.5</v>
      </c>
      <c r="D109" s="99">
        <v>2082.5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22.5" customHeight="1">
      <c r="A110" s="12">
        <v>45741.0</v>
      </c>
      <c r="B110" s="99">
        <v>21850.0</v>
      </c>
      <c r="C110" s="58">
        <v>19432.0</v>
      </c>
      <c r="D110" s="99">
        <v>2418.0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22.5" customHeight="1">
      <c r="A111" s="12">
        <v>45742.0</v>
      </c>
      <c r="B111" s="99">
        <v>20743.0</v>
      </c>
      <c r="C111" s="58">
        <v>18504.0</v>
      </c>
      <c r="D111" s="99">
        <v>2239.0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22.5" customHeight="1">
      <c r="A112" s="12">
        <v>45743.0</v>
      </c>
      <c r="B112" s="99">
        <v>19856.0</v>
      </c>
      <c r="C112" s="58">
        <v>17889.5</v>
      </c>
      <c r="D112" s="99">
        <v>1966.5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22.5" customHeight="1">
      <c r="A113" s="12">
        <v>45744.0</v>
      </c>
      <c r="B113" s="99">
        <v>22998.0</v>
      </c>
      <c r="C113" s="58">
        <v>20735.5</v>
      </c>
      <c r="D113" s="99">
        <v>2262.5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22.5" customHeight="1">
      <c r="A114" s="12">
        <v>45745.0</v>
      </c>
      <c r="B114" s="99">
        <v>19696.0</v>
      </c>
      <c r="C114" s="58">
        <v>17480.5</v>
      </c>
      <c r="D114" s="99">
        <v>2215.5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22.5" customHeight="1">
      <c r="A115" s="12">
        <v>45746.0</v>
      </c>
      <c r="B115" s="99">
        <v>22348.0</v>
      </c>
      <c r="C115" s="58">
        <v>20315.0</v>
      </c>
      <c r="D115" s="99">
        <v>2033.0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22.5" customHeight="1">
      <c r="A116" s="12">
        <v>45747.0</v>
      </c>
      <c r="B116" s="99">
        <v>22691.0</v>
      </c>
      <c r="C116" s="58">
        <v>20211.0</v>
      </c>
      <c r="D116" s="99">
        <v>2480.0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22.5" customHeight="1">
      <c r="A117" s="12">
        <v>45748.0</v>
      </c>
      <c r="B117" s="99">
        <v>25783.0</v>
      </c>
      <c r="C117" s="58">
        <v>23102.0</v>
      </c>
      <c r="D117" s="99">
        <v>2681.0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22.5" customHeight="1">
      <c r="A118" s="12">
        <v>45749.0</v>
      </c>
      <c r="B118" s="99">
        <v>25930.0</v>
      </c>
      <c r="C118" s="58">
        <v>22736.5</v>
      </c>
      <c r="D118" s="99">
        <v>3193.5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22.5" customHeight="1">
      <c r="A119" s="12">
        <v>45750.0</v>
      </c>
      <c r="B119" s="99">
        <v>32109.0</v>
      </c>
      <c r="C119" s="58">
        <v>28327.5</v>
      </c>
      <c r="D119" s="99">
        <v>3781.5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22.5" customHeight="1">
      <c r="A120" s="12">
        <v>45751.0</v>
      </c>
      <c r="B120" s="99">
        <v>27308.0</v>
      </c>
      <c r="C120" s="58">
        <v>24572.0</v>
      </c>
      <c r="D120" s="99">
        <v>2736.0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22.5" customHeight="1">
      <c r="A121" s="12">
        <v>45752.0</v>
      </c>
      <c r="B121" s="99">
        <v>28688.0</v>
      </c>
      <c r="C121" s="58">
        <v>25198.5</v>
      </c>
      <c r="D121" s="99">
        <v>3489.5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22.5" customHeight="1">
      <c r="A122" s="12">
        <v>45753.0</v>
      </c>
      <c r="B122" s="99">
        <v>32370.0</v>
      </c>
      <c r="C122" s="58">
        <v>28808.0</v>
      </c>
      <c r="D122" s="99">
        <v>3562.0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22.5" customHeight="1">
      <c r="A123" s="12">
        <v>45754.0</v>
      </c>
      <c r="B123" s="99">
        <v>20584.0</v>
      </c>
      <c r="C123" s="58">
        <v>17932.0</v>
      </c>
      <c r="D123" s="99">
        <v>2652.0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22.5" customHeight="1">
      <c r="A124" s="12">
        <v>45755.0</v>
      </c>
      <c r="B124" s="99">
        <v>23618.0</v>
      </c>
      <c r="C124" s="58">
        <v>20828.0</v>
      </c>
      <c r="D124" s="99">
        <v>2790.0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22.5" customHeight="1">
      <c r="A125" s="12">
        <v>45756.0</v>
      </c>
      <c r="B125" s="99">
        <v>27092.0</v>
      </c>
      <c r="C125" s="58">
        <v>24262.5</v>
      </c>
      <c r="D125" s="99">
        <v>2829.5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22.5" customHeight="1">
      <c r="A126" s="12">
        <v>45757.0</v>
      </c>
      <c r="B126" s="99">
        <v>25276.0</v>
      </c>
      <c r="C126" s="58">
        <v>21909.5</v>
      </c>
      <c r="D126" s="99">
        <v>3366.5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22.5" customHeight="1">
      <c r="A127" s="12">
        <v>45758.0</v>
      </c>
      <c r="B127" s="99">
        <v>22222.0</v>
      </c>
      <c r="C127" s="58">
        <v>19163.0</v>
      </c>
      <c r="D127" s="99">
        <v>3059.0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22.5" customHeight="1">
      <c r="A128" s="12">
        <v>45759.0</v>
      </c>
      <c r="B128" s="99">
        <v>25126.0</v>
      </c>
      <c r="C128" s="58">
        <v>21952.5</v>
      </c>
      <c r="D128" s="99">
        <v>3173.5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22.5" customHeight="1">
      <c r="A129" s="12">
        <v>45760.0</v>
      </c>
      <c r="B129" s="99">
        <v>28208.0</v>
      </c>
      <c r="C129" s="58">
        <v>24449.0</v>
      </c>
      <c r="D129" s="99">
        <v>3759.0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22.5" customHeight="1">
      <c r="A130" s="12">
        <v>45761.0</v>
      </c>
      <c r="B130" s="99">
        <v>23770.0</v>
      </c>
      <c r="C130" s="58">
        <v>20729.0</v>
      </c>
      <c r="D130" s="99">
        <v>3041.0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22.5" customHeight="1">
      <c r="A131" s="12">
        <v>45762.0</v>
      </c>
      <c r="B131" s="99">
        <v>29804.0</v>
      </c>
      <c r="C131" s="58">
        <v>26675.0</v>
      </c>
      <c r="D131" s="99">
        <v>3129.0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22.5" customHeight="1">
      <c r="A132" s="12">
        <v>45763.0</v>
      </c>
      <c r="B132" s="99">
        <v>25834.0</v>
      </c>
      <c r="C132" s="58">
        <v>22818.5</v>
      </c>
      <c r="D132" s="99">
        <v>3015.5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22.5" customHeight="1">
      <c r="A133" s="12">
        <v>45764.0</v>
      </c>
      <c r="B133" s="99">
        <v>26898.0</v>
      </c>
      <c r="C133" s="58">
        <v>23834.5</v>
      </c>
      <c r="D133" s="99">
        <v>3063.5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22.5" customHeight="1">
      <c r="A134" s="12">
        <v>45765.0</v>
      </c>
      <c r="B134" s="99">
        <v>26531.0</v>
      </c>
      <c r="C134" s="58">
        <v>23770.0</v>
      </c>
      <c r="D134" s="99">
        <v>2761.0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22.5" customHeight="1">
      <c r="A135" s="12">
        <v>45766.0</v>
      </c>
      <c r="B135" s="99">
        <v>22506.0</v>
      </c>
      <c r="C135" s="58">
        <v>19986.5</v>
      </c>
      <c r="D135" s="99">
        <v>2519.5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22.5" customHeight="1">
      <c r="A136" s="12">
        <v>45767.0</v>
      </c>
      <c r="B136" s="99">
        <v>23154.0</v>
      </c>
      <c r="C136" s="58">
        <v>20076.0</v>
      </c>
      <c r="D136" s="99">
        <v>3078.0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22.5" customHeight="1">
      <c r="A137" s="12">
        <v>45768.0</v>
      </c>
      <c r="B137" s="99">
        <v>20412.0</v>
      </c>
      <c r="C137" s="58">
        <v>17830.0</v>
      </c>
      <c r="D137" s="99">
        <v>2582.0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22.5" customHeight="1">
      <c r="A138" s="12">
        <v>45769.0</v>
      </c>
      <c r="B138" s="99">
        <v>28212.0</v>
      </c>
      <c r="C138" s="58">
        <v>24894.5</v>
      </c>
      <c r="D138" s="99">
        <v>3317.5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22.5" customHeight="1">
      <c r="A139" s="12">
        <v>45770.0</v>
      </c>
      <c r="B139" s="99">
        <v>24156.0</v>
      </c>
      <c r="C139" s="58">
        <v>21028.5</v>
      </c>
      <c r="D139" s="99">
        <v>3127.5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22.5" customHeight="1">
      <c r="A140" s="12">
        <v>45771.0</v>
      </c>
      <c r="B140" s="99">
        <v>21258.0</v>
      </c>
      <c r="C140" s="58">
        <v>18417.5</v>
      </c>
      <c r="D140" s="99">
        <v>2840.5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22.5" customHeight="1">
      <c r="A141" s="12">
        <v>45772.0</v>
      </c>
      <c r="B141" s="99">
        <v>19484.0</v>
      </c>
      <c r="C141" s="58">
        <v>17165.5</v>
      </c>
      <c r="D141" s="99">
        <v>2318.5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22.5" customHeight="1">
      <c r="A142" s="12">
        <v>45773.0</v>
      </c>
      <c r="B142" s="99">
        <v>31036.0</v>
      </c>
      <c r="C142" s="58">
        <v>27664.5</v>
      </c>
      <c r="D142" s="99">
        <v>3371.5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22.5" customHeight="1">
      <c r="A143" s="12">
        <v>45774.0</v>
      </c>
      <c r="B143" s="99">
        <v>27516.0</v>
      </c>
      <c r="C143" s="58">
        <v>23958.0</v>
      </c>
      <c r="D143" s="99">
        <v>3558.0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22.5" customHeight="1">
      <c r="A144" s="12">
        <v>45775.0</v>
      </c>
      <c r="B144" s="99">
        <v>21078.0</v>
      </c>
      <c r="C144" s="58">
        <v>18348.0</v>
      </c>
      <c r="D144" s="99">
        <v>2730.0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22.5" customHeight="1">
      <c r="A145" s="12">
        <v>45776.0</v>
      </c>
      <c r="B145" s="99">
        <v>24270.0</v>
      </c>
      <c r="C145" s="58">
        <v>20982.5</v>
      </c>
      <c r="D145" s="99">
        <v>3287.5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22.5" customHeight="1">
      <c r="A146" s="12">
        <v>45777.0</v>
      </c>
      <c r="B146" s="99">
        <v>29542.0</v>
      </c>
      <c r="C146" s="58">
        <v>26261.0</v>
      </c>
      <c r="D146" s="99">
        <v>3281.0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55"/>
      <c r="B147" s="55"/>
      <c r="C147" s="55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55"/>
      <c r="B148" s="55"/>
      <c r="C148" s="55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55"/>
      <c r="B149" s="55"/>
      <c r="C149" s="55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>
      <c r="N998" s="11"/>
      <c r="O998" s="11"/>
      <c r="P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>
      <c r="N999" s="11"/>
      <c r="O999" s="11"/>
      <c r="P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>
      <c r="N1000" s="11"/>
      <c r="O1000" s="11"/>
      <c r="P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  <row r="1001">
      <c r="N1001" s="11"/>
      <c r="O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</row>
  </sheetData>
  <dataValidations>
    <dataValidation type="custom" allowBlank="1" showDropDown="1" sqref="A2:A64 A86:A146">
      <formula1>OR(NOT(ISERROR(DATEVALUE(A2))), AND(ISNUMBER(A2), LEFT(CELL("format", A2))="D"))</formula1>
    </dataValidation>
    <dataValidation type="custom" allowBlank="1" showDropDown="1" sqref="T32:X44 S61:U72 Z61:AB72 G69:J81">
      <formula1>AND(ISNUMBER(G32),(NOT(OR(NOT(ISERROR(DATEVALUE(G32))), AND(ISNUMBER(G32), LEFT(CELL("format", G32))="D")))))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1.88"/>
    <col customWidth="1" min="3" max="3" width="9.63"/>
    <col customWidth="1" min="4" max="4" width="12.25"/>
    <col customWidth="1" min="5" max="5" width="14.88"/>
    <col customWidth="1" min="6" max="6" width="14.13"/>
    <col customWidth="1" min="7" max="7" width="19.63"/>
    <col customWidth="1" min="8" max="8" width="19.5"/>
    <col customWidth="1" min="9" max="9" width="15.13"/>
    <col customWidth="1" min="12" max="12" width="15.63"/>
    <col customWidth="1" min="13" max="13" width="15.0"/>
    <col customWidth="1" min="14" max="14" width="19.13"/>
    <col customWidth="1" min="15" max="15" width="23.25"/>
    <col customWidth="1" min="17" max="17" width="16.75"/>
    <col customWidth="1" min="18" max="18" width="20.13"/>
    <col customWidth="1" min="19" max="19" width="20.75"/>
    <col customWidth="1" min="22" max="22" width="11.13"/>
    <col customWidth="1" min="23" max="23" width="18.88"/>
  </cols>
  <sheetData>
    <row r="1" ht="22.5" customHeight="1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9" t="s">
        <v>67</v>
      </c>
      <c r="O1" s="8" t="s">
        <v>68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ht="22.5" customHeight="1">
      <c r="A2" s="12">
        <v>45717.0</v>
      </c>
      <c r="B2" s="13">
        <v>800.0</v>
      </c>
      <c r="C2" s="14">
        <v>800.0</v>
      </c>
      <c r="D2" s="14">
        <v>800.0</v>
      </c>
      <c r="E2" s="16">
        <v>900.0</v>
      </c>
      <c r="F2" s="14">
        <v>9.0</v>
      </c>
      <c r="G2" s="15">
        <v>600.0</v>
      </c>
      <c r="H2" s="17">
        <v>120.0</v>
      </c>
      <c r="I2" s="14">
        <v>25.0</v>
      </c>
      <c r="J2" s="14">
        <v>40.0</v>
      </c>
      <c r="K2" s="14">
        <v>400.0</v>
      </c>
      <c r="L2" s="14">
        <v>150.0</v>
      </c>
      <c r="M2" s="14">
        <v>150.0</v>
      </c>
      <c r="N2" s="19">
        <f t="shared" ref="N2:N62" si="1">SUM(B2:M2)</f>
        <v>4794</v>
      </c>
      <c r="O2" s="20">
        <f t="shared" ref="O2:O62" si="2">N2/11</f>
        <v>435.8181818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ht="22.5" customHeight="1">
      <c r="A3" s="12">
        <v>45718.0</v>
      </c>
      <c r="B3" s="13">
        <v>766.0</v>
      </c>
      <c r="C3" s="17">
        <v>736.0</v>
      </c>
      <c r="D3" s="17">
        <v>753.0</v>
      </c>
      <c r="E3" s="16">
        <v>833.0</v>
      </c>
      <c r="F3" s="14">
        <v>20.0</v>
      </c>
      <c r="G3" s="16">
        <v>579.0</v>
      </c>
      <c r="H3" s="17">
        <v>113.0</v>
      </c>
      <c r="I3" s="17">
        <v>20.0</v>
      </c>
      <c r="J3" s="17">
        <v>38.0</v>
      </c>
      <c r="K3" s="100">
        <v>368.0</v>
      </c>
      <c r="L3" s="17">
        <v>131.0</v>
      </c>
      <c r="M3" s="17">
        <v>141.0</v>
      </c>
      <c r="N3" s="19">
        <f t="shared" si="1"/>
        <v>4498</v>
      </c>
      <c r="O3" s="20">
        <f t="shared" si="2"/>
        <v>408.9090909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ht="22.5" customHeight="1">
      <c r="A4" s="12">
        <v>45719.0</v>
      </c>
      <c r="B4" s="13">
        <v>689.0</v>
      </c>
      <c r="C4" s="17">
        <v>708.0</v>
      </c>
      <c r="D4" s="17">
        <v>698.0</v>
      </c>
      <c r="E4" s="16">
        <v>771.0</v>
      </c>
      <c r="F4" s="14">
        <v>28.0</v>
      </c>
      <c r="G4" s="16">
        <v>550.0</v>
      </c>
      <c r="H4" s="17">
        <v>102.0</v>
      </c>
      <c r="I4" s="17">
        <v>18.0</v>
      </c>
      <c r="J4" s="17">
        <v>35.0</v>
      </c>
      <c r="K4" s="100">
        <v>336.0</v>
      </c>
      <c r="L4" s="17">
        <v>125.0</v>
      </c>
      <c r="M4" s="17">
        <v>135.0</v>
      </c>
      <c r="N4" s="19">
        <f t="shared" si="1"/>
        <v>4195</v>
      </c>
      <c r="O4" s="20">
        <f t="shared" si="2"/>
        <v>381.3636364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ht="22.5" customHeight="1">
      <c r="A5" s="12">
        <v>45720.0</v>
      </c>
      <c r="B5" s="13">
        <v>658.0</v>
      </c>
      <c r="C5" s="17">
        <v>651.0</v>
      </c>
      <c r="D5" s="17">
        <v>664.0</v>
      </c>
      <c r="E5" s="16">
        <v>727.0</v>
      </c>
      <c r="F5" s="14">
        <v>8.0</v>
      </c>
      <c r="G5" s="16">
        <v>525.0</v>
      </c>
      <c r="H5" s="17">
        <v>92.0</v>
      </c>
      <c r="I5" s="17">
        <v>15.0</v>
      </c>
      <c r="J5" s="17">
        <v>34.0</v>
      </c>
      <c r="K5" s="100">
        <v>314.0</v>
      </c>
      <c r="L5" s="17">
        <v>115.0</v>
      </c>
      <c r="M5" s="17">
        <v>125.0</v>
      </c>
      <c r="N5" s="19">
        <f t="shared" si="1"/>
        <v>3928</v>
      </c>
      <c r="O5" s="20">
        <f t="shared" si="2"/>
        <v>357.0909091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ht="22.5" customHeight="1">
      <c r="A6" s="12">
        <v>45721.0</v>
      </c>
      <c r="B6" s="13">
        <v>641.0</v>
      </c>
      <c r="C6" s="17">
        <v>618.0</v>
      </c>
      <c r="D6" s="17">
        <v>625.0</v>
      </c>
      <c r="E6" s="16">
        <v>682.0</v>
      </c>
      <c r="F6" s="14">
        <v>0.0</v>
      </c>
      <c r="G6" s="16">
        <v>503.0</v>
      </c>
      <c r="H6" s="17">
        <v>87.0</v>
      </c>
      <c r="I6" s="17">
        <v>9.0</v>
      </c>
      <c r="J6" s="17">
        <v>30.0</v>
      </c>
      <c r="K6" s="100">
        <v>268.0</v>
      </c>
      <c r="L6" s="17">
        <v>103.0</v>
      </c>
      <c r="M6" s="17">
        <v>118.0</v>
      </c>
      <c r="N6" s="19">
        <f t="shared" si="1"/>
        <v>3684</v>
      </c>
      <c r="O6" s="20">
        <f t="shared" si="2"/>
        <v>334.9090909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ht="22.5" customHeight="1">
      <c r="A7" s="12">
        <v>45722.0</v>
      </c>
      <c r="B7" s="21">
        <v>591.0</v>
      </c>
      <c r="C7" s="17">
        <v>584.0</v>
      </c>
      <c r="D7" s="17">
        <v>604.0</v>
      </c>
      <c r="E7" s="16">
        <v>602.0</v>
      </c>
      <c r="F7" s="14">
        <v>9.0</v>
      </c>
      <c r="G7" s="16">
        <v>482.0</v>
      </c>
      <c r="H7" s="17">
        <v>70.0</v>
      </c>
      <c r="I7" s="17">
        <v>8.0</v>
      </c>
      <c r="J7" s="17">
        <v>28.0</v>
      </c>
      <c r="K7" s="100">
        <v>234.0</v>
      </c>
      <c r="L7" s="17">
        <v>94.0</v>
      </c>
      <c r="M7" s="17">
        <v>109.0</v>
      </c>
      <c r="N7" s="19">
        <f t="shared" si="1"/>
        <v>3415</v>
      </c>
      <c r="O7" s="20">
        <f t="shared" si="2"/>
        <v>310.4545455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ht="22.5" customHeight="1">
      <c r="A8" s="12">
        <v>45723.0</v>
      </c>
      <c r="B8" s="13">
        <v>557.0</v>
      </c>
      <c r="C8" s="17">
        <v>488.0</v>
      </c>
      <c r="D8" s="17">
        <v>562.0</v>
      </c>
      <c r="E8" s="16">
        <v>573.0</v>
      </c>
      <c r="F8" s="14">
        <v>1.0</v>
      </c>
      <c r="G8" s="16">
        <v>457.0</v>
      </c>
      <c r="H8" s="17">
        <v>64.0</v>
      </c>
      <c r="I8" s="17">
        <v>5.0</v>
      </c>
      <c r="J8" s="17">
        <v>25.0</v>
      </c>
      <c r="K8" s="100">
        <v>214.0</v>
      </c>
      <c r="L8" s="17">
        <v>82.0</v>
      </c>
      <c r="M8" s="17">
        <v>97.0</v>
      </c>
      <c r="N8" s="19">
        <f t="shared" si="1"/>
        <v>3125</v>
      </c>
      <c r="O8" s="20">
        <f t="shared" si="2"/>
        <v>284.0909091</v>
      </c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ht="22.5" customHeight="1">
      <c r="A9" s="12">
        <v>45724.0</v>
      </c>
      <c r="B9" s="13">
        <v>905.0</v>
      </c>
      <c r="C9" s="17">
        <v>451.0</v>
      </c>
      <c r="D9" s="17">
        <v>502.0</v>
      </c>
      <c r="E9" s="16">
        <v>519.0</v>
      </c>
      <c r="F9" s="14">
        <v>2.0</v>
      </c>
      <c r="G9" s="16">
        <v>432.0</v>
      </c>
      <c r="H9" s="17">
        <v>55.0</v>
      </c>
      <c r="I9" s="17">
        <v>29.0</v>
      </c>
      <c r="J9" s="17">
        <v>22.0</v>
      </c>
      <c r="K9" s="100">
        <v>183.0</v>
      </c>
      <c r="L9" s="17">
        <v>77.0</v>
      </c>
      <c r="M9" s="17">
        <v>92.0</v>
      </c>
      <c r="N9" s="19">
        <f t="shared" si="1"/>
        <v>3269</v>
      </c>
      <c r="O9" s="20">
        <f t="shared" si="2"/>
        <v>297.1818182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22.5" customHeight="1">
      <c r="A10" s="12">
        <v>45725.0</v>
      </c>
      <c r="B10" s="13">
        <v>883.0</v>
      </c>
      <c r="C10" s="17">
        <v>423.0</v>
      </c>
      <c r="D10" s="17">
        <v>408.0</v>
      </c>
      <c r="E10" s="16">
        <v>503.0</v>
      </c>
      <c r="F10" s="14">
        <v>9.0</v>
      </c>
      <c r="G10" s="16">
        <v>414.0</v>
      </c>
      <c r="H10" s="17">
        <v>43.0</v>
      </c>
      <c r="I10" s="17">
        <v>27.0</v>
      </c>
      <c r="J10" s="17">
        <v>22.0</v>
      </c>
      <c r="K10" s="100">
        <v>138.0</v>
      </c>
      <c r="L10" s="17">
        <v>148.0</v>
      </c>
      <c r="M10" s="17">
        <v>163.0</v>
      </c>
      <c r="N10" s="19">
        <f t="shared" si="1"/>
        <v>3181</v>
      </c>
      <c r="O10" s="20">
        <f t="shared" si="2"/>
        <v>289.1818182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22.5" customHeight="1">
      <c r="A11" s="12">
        <v>45726.0</v>
      </c>
      <c r="B11" s="13">
        <v>851.0</v>
      </c>
      <c r="C11" s="17">
        <v>398.0</v>
      </c>
      <c r="D11" s="17">
        <v>359.0</v>
      </c>
      <c r="E11" s="16">
        <v>1080.0</v>
      </c>
      <c r="F11" s="14">
        <v>9.0</v>
      </c>
      <c r="G11" s="16">
        <v>392.0</v>
      </c>
      <c r="H11" s="17">
        <v>85.0</v>
      </c>
      <c r="I11" s="17">
        <v>24.0</v>
      </c>
      <c r="J11" s="17">
        <v>20.0</v>
      </c>
      <c r="K11" s="100">
        <v>107.0</v>
      </c>
      <c r="L11" s="17">
        <v>138.0</v>
      </c>
      <c r="M11" s="17">
        <v>153.0</v>
      </c>
      <c r="N11" s="19">
        <f t="shared" si="1"/>
        <v>3616</v>
      </c>
      <c r="O11" s="20">
        <f t="shared" si="2"/>
        <v>328.7272727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22.5" customHeight="1">
      <c r="A12" s="12">
        <v>45727.0</v>
      </c>
      <c r="B12" s="13">
        <v>815.0</v>
      </c>
      <c r="C12" s="17">
        <v>316.0</v>
      </c>
      <c r="D12" s="17">
        <v>332.0</v>
      </c>
      <c r="E12" s="16">
        <v>1047.0</v>
      </c>
      <c r="F12" s="14">
        <v>16.0</v>
      </c>
      <c r="G12" s="16">
        <v>375.0</v>
      </c>
      <c r="H12" s="17">
        <v>73.0</v>
      </c>
      <c r="I12" s="17">
        <v>21.0</v>
      </c>
      <c r="J12" s="17">
        <v>17.0</v>
      </c>
      <c r="K12" s="100">
        <v>267.0</v>
      </c>
      <c r="L12" s="17">
        <v>131.0</v>
      </c>
      <c r="M12" s="17">
        <v>146.0</v>
      </c>
      <c r="N12" s="19">
        <f t="shared" si="1"/>
        <v>3556</v>
      </c>
      <c r="O12" s="20">
        <f t="shared" si="2"/>
        <v>323.2727273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ht="22.5" customHeight="1">
      <c r="A13" s="12">
        <v>45728.0</v>
      </c>
      <c r="B13" s="13">
        <v>732.0</v>
      </c>
      <c r="C13" s="17">
        <v>221.0</v>
      </c>
      <c r="D13" s="17">
        <v>279.0</v>
      </c>
      <c r="E13" s="16">
        <v>987.0</v>
      </c>
      <c r="F13" s="14">
        <v>15.0</v>
      </c>
      <c r="G13" s="16">
        <v>359.0</v>
      </c>
      <c r="H13" s="17">
        <v>66.0</v>
      </c>
      <c r="I13" s="17">
        <v>20.0</v>
      </c>
      <c r="J13" s="17">
        <v>15.0</v>
      </c>
      <c r="K13" s="100">
        <v>225.0</v>
      </c>
      <c r="L13" s="17">
        <v>125.0</v>
      </c>
      <c r="M13" s="17">
        <v>140.0</v>
      </c>
      <c r="N13" s="19">
        <f t="shared" si="1"/>
        <v>3184</v>
      </c>
      <c r="O13" s="20">
        <f t="shared" si="2"/>
        <v>289.4545455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ht="22.5" customHeight="1">
      <c r="A14" s="12">
        <v>45729.0</v>
      </c>
      <c r="B14" s="13">
        <v>684.0</v>
      </c>
      <c r="C14" s="17">
        <v>986.0</v>
      </c>
      <c r="D14" s="17">
        <v>205.0</v>
      </c>
      <c r="E14" s="16">
        <v>926.0</v>
      </c>
      <c r="F14" s="14">
        <v>0.0</v>
      </c>
      <c r="G14" s="16">
        <v>333.0</v>
      </c>
      <c r="H14" s="17">
        <v>48.0</v>
      </c>
      <c r="I14" s="17">
        <v>18.0</v>
      </c>
      <c r="J14" s="17">
        <v>14.0</v>
      </c>
      <c r="K14" s="100">
        <v>194.0</v>
      </c>
      <c r="L14" s="17">
        <v>115.0</v>
      </c>
      <c r="M14" s="17">
        <v>130.0</v>
      </c>
      <c r="N14" s="19">
        <f t="shared" si="1"/>
        <v>3653</v>
      </c>
      <c r="O14" s="20">
        <f t="shared" si="2"/>
        <v>332.0909091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ht="22.5" customHeight="1">
      <c r="A15" s="12">
        <v>45730.0</v>
      </c>
      <c r="B15" s="13">
        <v>615.0</v>
      </c>
      <c r="C15" s="17">
        <v>926.0</v>
      </c>
      <c r="D15" s="17">
        <v>123.0</v>
      </c>
      <c r="E15" s="16">
        <v>889.0</v>
      </c>
      <c r="F15" s="14">
        <v>9.0</v>
      </c>
      <c r="G15" s="16">
        <v>313.0</v>
      </c>
      <c r="H15" s="17">
        <v>42.0</v>
      </c>
      <c r="I15" s="17">
        <v>14.0</v>
      </c>
      <c r="J15" s="17">
        <v>12.0</v>
      </c>
      <c r="K15" s="100">
        <v>163.0</v>
      </c>
      <c r="L15" s="17">
        <v>105.0</v>
      </c>
      <c r="M15" s="17">
        <v>120.0</v>
      </c>
      <c r="N15" s="19">
        <f t="shared" si="1"/>
        <v>3331</v>
      </c>
      <c r="O15" s="20">
        <f t="shared" si="2"/>
        <v>302.8181818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22.5" customHeight="1">
      <c r="A16" s="12">
        <v>45731.0</v>
      </c>
      <c r="B16" s="13">
        <v>582.0</v>
      </c>
      <c r="C16" s="17">
        <v>878.0</v>
      </c>
      <c r="D16" s="17">
        <v>575.0</v>
      </c>
      <c r="E16" s="16">
        <v>844.0</v>
      </c>
      <c r="F16" s="14">
        <v>6.0</v>
      </c>
      <c r="G16" s="16">
        <v>297.0</v>
      </c>
      <c r="H16" s="17">
        <v>93.0</v>
      </c>
      <c r="I16" s="17">
        <v>14.0</v>
      </c>
      <c r="J16" s="17">
        <v>41.0</v>
      </c>
      <c r="K16" s="100">
        <v>123.0</v>
      </c>
      <c r="L16" s="17">
        <v>100.0</v>
      </c>
      <c r="M16" s="17">
        <v>115.0</v>
      </c>
      <c r="N16" s="19">
        <f t="shared" si="1"/>
        <v>3668</v>
      </c>
      <c r="O16" s="20">
        <f t="shared" si="2"/>
        <v>333.4545455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ht="22.5" customHeight="1">
      <c r="A17" s="12">
        <v>45732.0</v>
      </c>
      <c r="B17" s="13">
        <v>533.0</v>
      </c>
      <c r="C17" s="17">
        <v>861.0</v>
      </c>
      <c r="D17" s="17">
        <v>543.0</v>
      </c>
      <c r="E17" s="16">
        <v>809.0</v>
      </c>
      <c r="F17" s="14">
        <v>2.0</v>
      </c>
      <c r="G17" s="16">
        <v>282.0</v>
      </c>
      <c r="H17" s="17">
        <v>87.0</v>
      </c>
      <c r="I17" s="17">
        <v>12.0</v>
      </c>
      <c r="J17" s="17">
        <v>38.0</v>
      </c>
      <c r="K17" s="100">
        <v>93.0</v>
      </c>
      <c r="L17" s="17">
        <v>92.0</v>
      </c>
      <c r="M17" s="17">
        <v>107.0</v>
      </c>
      <c r="N17" s="19">
        <f t="shared" si="1"/>
        <v>3459</v>
      </c>
      <c r="O17" s="20">
        <f t="shared" si="2"/>
        <v>314.4545455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ht="22.5" customHeight="1">
      <c r="A18" s="12">
        <v>45733.0</v>
      </c>
      <c r="B18" s="13">
        <v>464.0</v>
      </c>
      <c r="C18" s="17">
        <v>802.0</v>
      </c>
      <c r="D18" s="17">
        <v>481.0</v>
      </c>
      <c r="E18" s="16">
        <v>739.0</v>
      </c>
      <c r="F18" s="14">
        <v>11.0</v>
      </c>
      <c r="G18" s="16">
        <v>256.0</v>
      </c>
      <c r="H18" s="17">
        <v>80.0</v>
      </c>
      <c r="I18" s="17">
        <v>5.0</v>
      </c>
      <c r="J18" s="17">
        <v>38.0</v>
      </c>
      <c r="K18" s="100">
        <v>65.0</v>
      </c>
      <c r="L18" s="17">
        <v>85.0</v>
      </c>
      <c r="M18" s="17">
        <v>100.0</v>
      </c>
      <c r="N18" s="19">
        <f t="shared" si="1"/>
        <v>3126</v>
      </c>
      <c r="O18" s="20">
        <f t="shared" si="2"/>
        <v>284.1818182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ht="22.5" customHeight="1">
      <c r="A19" s="12">
        <v>45734.0</v>
      </c>
      <c r="B19" s="13">
        <v>439.0</v>
      </c>
      <c r="C19" s="17">
        <v>734.0</v>
      </c>
      <c r="D19" s="17">
        <v>446.0</v>
      </c>
      <c r="E19" s="16">
        <v>718.0</v>
      </c>
      <c r="F19" s="14">
        <v>1.0</v>
      </c>
      <c r="G19" s="16">
        <v>230.0</v>
      </c>
      <c r="H19" s="17">
        <v>75.0</v>
      </c>
      <c r="I19" s="17">
        <v>0.0</v>
      </c>
      <c r="J19" s="17">
        <v>36.0</v>
      </c>
      <c r="K19" s="100">
        <v>53.0</v>
      </c>
      <c r="L19" s="17">
        <v>81.0</v>
      </c>
      <c r="M19" s="17">
        <v>96.0</v>
      </c>
      <c r="N19" s="19">
        <f t="shared" si="1"/>
        <v>2909</v>
      </c>
      <c r="O19" s="20">
        <f t="shared" si="2"/>
        <v>264.4545455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ht="22.5" customHeight="1">
      <c r="A20" s="12">
        <v>45735.0</v>
      </c>
      <c r="B20" s="13">
        <v>423.0</v>
      </c>
      <c r="C20" s="17">
        <v>707.0</v>
      </c>
      <c r="D20" s="17">
        <v>389.0</v>
      </c>
      <c r="E20" s="16">
        <v>655.0</v>
      </c>
      <c r="F20" s="14">
        <v>11.0</v>
      </c>
      <c r="G20" s="16">
        <v>199.0</v>
      </c>
      <c r="H20" s="17">
        <v>63.0</v>
      </c>
      <c r="I20" s="17">
        <v>0.0</v>
      </c>
      <c r="J20" s="17">
        <v>32.0</v>
      </c>
      <c r="K20" s="100">
        <v>228.0</v>
      </c>
      <c r="L20" s="17">
        <v>71.0</v>
      </c>
      <c r="M20" s="17">
        <v>86.0</v>
      </c>
      <c r="N20" s="19">
        <f t="shared" si="1"/>
        <v>2864</v>
      </c>
      <c r="O20" s="20">
        <f t="shared" si="2"/>
        <v>260.3636364</v>
      </c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ht="22.5" customHeight="1">
      <c r="A21" s="12">
        <v>45736.0</v>
      </c>
      <c r="B21" s="13">
        <v>322.0</v>
      </c>
      <c r="C21" s="17">
        <v>686.0</v>
      </c>
      <c r="D21" s="17">
        <v>310.0</v>
      </c>
      <c r="E21" s="16">
        <v>598.0</v>
      </c>
      <c r="F21" s="14">
        <v>10.0</v>
      </c>
      <c r="G21" s="16">
        <v>175.0</v>
      </c>
      <c r="H21" s="17">
        <v>45.0</v>
      </c>
      <c r="I21" s="17">
        <v>20.0</v>
      </c>
      <c r="J21" s="17">
        <v>30.0</v>
      </c>
      <c r="K21" s="100">
        <v>214.0</v>
      </c>
      <c r="L21" s="17">
        <v>63.0</v>
      </c>
      <c r="M21" s="17">
        <v>78.0</v>
      </c>
      <c r="N21" s="19">
        <f t="shared" si="1"/>
        <v>2551</v>
      </c>
      <c r="O21" s="20">
        <f t="shared" si="2"/>
        <v>231.9090909</v>
      </c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ht="22.5" customHeight="1">
      <c r="A22" s="12">
        <v>45737.0</v>
      </c>
      <c r="B22" s="13">
        <v>292.0</v>
      </c>
      <c r="C22" s="17">
        <v>657.0</v>
      </c>
      <c r="D22" s="17">
        <v>288.0</v>
      </c>
      <c r="E22" s="16">
        <v>507.0</v>
      </c>
      <c r="F22" s="14">
        <v>0.0</v>
      </c>
      <c r="G22" s="16">
        <v>145.0</v>
      </c>
      <c r="H22" s="17">
        <v>92.0</v>
      </c>
      <c r="I22" s="17">
        <v>16.0</v>
      </c>
      <c r="J22" s="17">
        <v>30.0</v>
      </c>
      <c r="K22" s="100">
        <v>195.0</v>
      </c>
      <c r="L22" s="17">
        <v>59.0</v>
      </c>
      <c r="M22" s="17">
        <v>74.0</v>
      </c>
      <c r="N22" s="19">
        <f t="shared" si="1"/>
        <v>2355</v>
      </c>
      <c r="O22" s="20">
        <f t="shared" si="2"/>
        <v>214.0909091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ht="22.5" customHeight="1">
      <c r="A23" s="12">
        <v>45738.0</v>
      </c>
      <c r="B23" s="13">
        <v>620.0</v>
      </c>
      <c r="C23" s="17">
        <v>585.0</v>
      </c>
      <c r="D23" s="17">
        <v>245.0</v>
      </c>
      <c r="E23" s="16">
        <v>450.0</v>
      </c>
      <c r="F23" s="14">
        <v>6.0</v>
      </c>
      <c r="G23" s="16">
        <v>316.0</v>
      </c>
      <c r="H23" s="17">
        <v>82.0</v>
      </c>
      <c r="I23" s="17">
        <v>13.0</v>
      </c>
      <c r="J23" s="17">
        <v>27.0</v>
      </c>
      <c r="K23" s="100">
        <v>191.0</v>
      </c>
      <c r="L23" s="17">
        <v>52.0</v>
      </c>
      <c r="M23" s="17">
        <v>67.0</v>
      </c>
      <c r="N23" s="19">
        <f t="shared" si="1"/>
        <v>2654</v>
      </c>
      <c r="O23" s="20">
        <f t="shared" si="2"/>
        <v>241.2727273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ht="22.5" customHeight="1">
      <c r="A24" s="12">
        <v>45739.0</v>
      </c>
      <c r="B24" s="21">
        <v>577.0</v>
      </c>
      <c r="C24" s="17">
        <v>567.0</v>
      </c>
      <c r="D24" s="17">
        <v>169.0</v>
      </c>
      <c r="E24" s="16">
        <v>369.0</v>
      </c>
      <c r="F24" s="14">
        <v>0.0</v>
      </c>
      <c r="G24" s="16">
        <v>287.0</v>
      </c>
      <c r="H24" s="17">
        <v>77.0</v>
      </c>
      <c r="I24" s="17">
        <v>12.0</v>
      </c>
      <c r="J24" s="17">
        <v>24.0</v>
      </c>
      <c r="K24" s="100">
        <v>184.0</v>
      </c>
      <c r="L24" s="17">
        <v>49.0</v>
      </c>
      <c r="M24" s="17">
        <v>64.0</v>
      </c>
      <c r="N24" s="19">
        <f t="shared" si="1"/>
        <v>2379</v>
      </c>
      <c r="O24" s="20">
        <f t="shared" si="2"/>
        <v>216.2727273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ht="22.5" customHeight="1">
      <c r="A25" s="12">
        <v>45740.0</v>
      </c>
      <c r="B25" s="13">
        <v>518.0</v>
      </c>
      <c r="C25" s="17">
        <v>513.0</v>
      </c>
      <c r="D25" s="17">
        <v>590.0</v>
      </c>
      <c r="E25" s="16">
        <v>289.0</v>
      </c>
      <c r="F25" s="14">
        <v>7.0</v>
      </c>
      <c r="G25" s="16">
        <v>261.0</v>
      </c>
      <c r="H25" s="17">
        <v>61.0</v>
      </c>
      <c r="I25" s="17">
        <v>11.0</v>
      </c>
      <c r="J25" s="17">
        <v>19.0</v>
      </c>
      <c r="K25" s="100">
        <v>171.0</v>
      </c>
      <c r="L25" s="17">
        <v>37.0</v>
      </c>
      <c r="M25" s="17">
        <v>52.0</v>
      </c>
      <c r="N25" s="19">
        <f t="shared" si="1"/>
        <v>2529</v>
      </c>
      <c r="O25" s="20">
        <f t="shared" si="2"/>
        <v>229.9090909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ht="22.5" customHeight="1">
      <c r="A26" s="12">
        <v>45741.0</v>
      </c>
      <c r="B26" s="13">
        <v>466.0</v>
      </c>
      <c r="C26" s="17">
        <v>456.0</v>
      </c>
      <c r="D26" s="17">
        <v>541.0</v>
      </c>
      <c r="E26" s="16">
        <v>254.0</v>
      </c>
      <c r="F26" s="14">
        <v>7.0</v>
      </c>
      <c r="G26" s="16">
        <v>244.0</v>
      </c>
      <c r="H26" s="17">
        <v>56.0</v>
      </c>
      <c r="I26" s="17">
        <v>9.0</v>
      </c>
      <c r="J26" s="17">
        <v>18.0</v>
      </c>
      <c r="K26" s="100">
        <v>165.0</v>
      </c>
      <c r="L26" s="17">
        <v>29.0</v>
      </c>
      <c r="M26" s="17">
        <v>44.0</v>
      </c>
      <c r="N26" s="19">
        <f t="shared" si="1"/>
        <v>2289</v>
      </c>
      <c r="O26" s="20">
        <f t="shared" si="2"/>
        <v>208.0909091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ht="22.5" customHeight="1">
      <c r="A27" s="12">
        <v>45742.0</v>
      </c>
      <c r="B27" s="13">
        <v>391.0</v>
      </c>
      <c r="C27" s="17">
        <v>397.0</v>
      </c>
      <c r="D27" s="17">
        <v>511.0</v>
      </c>
      <c r="E27" s="16">
        <v>805.0</v>
      </c>
      <c r="F27" s="14">
        <v>3.0</v>
      </c>
      <c r="G27" s="16">
        <v>225.0</v>
      </c>
      <c r="H27" s="17">
        <v>51.0</v>
      </c>
      <c r="I27" s="17">
        <v>8.0</v>
      </c>
      <c r="J27" s="17">
        <v>17.0</v>
      </c>
      <c r="K27" s="100">
        <v>151.0</v>
      </c>
      <c r="L27" s="17">
        <v>18.0</v>
      </c>
      <c r="M27" s="17">
        <v>33.0</v>
      </c>
      <c r="N27" s="19">
        <f t="shared" si="1"/>
        <v>2610</v>
      </c>
      <c r="O27" s="20">
        <f t="shared" si="2"/>
        <v>237.2727273</v>
      </c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22.5" customHeight="1">
      <c r="A28" s="12">
        <v>45743.0</v>
      </c>
      <c r="B28" s="13">
        <v>315.0</v>
      </c>
      <c r="C28" s="17">
        <v>341.0</v>
      </c>
      <c r="D28" s="17">
        <v>475.0</v>
      </c>
      <c r="E28" s="16">
        <v>737.0</v>
      </c>
      <c r="F28" s="14">
        <v>11.0</v>
      </c>
      <c r="G28" s="16">
        <v>204.0</v>
      </c>
      <c r="H28" s="17">
        <v>44.0</v>
      </c>
      <c r="I28" s="17">
        <v>8.0</v>
      </c>
      <c r="J28" s="17">
        <v>16.0</v>
      </c>
      <c r="K28" s="100">
        <v>136.0</v>
      </c>
      <c r="L28" s="17">
        <v>15.0</v>
      </c>
      <c r="M28" s="17">
        <v>30.0</v>
      </c>
      <c r="N28" s="19">
        <f t="shared" si="1"/>
        <v>2332</v>
      </c>
      <c r="O28" s="20">
        <f t="shared" si="2"/>
        <v>212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22.5" customHeight="1">
      <c r="A29" s="12">
        <v>45744.0</v>
      </c>
      <c r="B29" s="13">
        <v>281.0</v>
      </c>
      <c r="C29" s="17">
        <v>280.0</v>
      </c>
      <c r="D29" s="17">
        <v>452.0</v>
      </c>
      <c r="E29" s="16">
        <v>668.0</v>
      </c>
      <c r="F29" s="14">
        <v>1.0</v>
      </c>
      <c r="G29" s="16">
        <v>181.0</v>
      </c>
      <c r="H29" s="17">
        <v>95.0</v>
      </c>
      <c r="I29" s="17">
        <v>5.0</v>
      </c>
      <c r="J29" s="17">
        <v>16.0</v>
      </c>
      <c r="K29" s="100">
        <v>126.0</v>
      </c>
      <c r="L29" s="17">
        <v>83.0</v>
      </c>
      <c r="M29" s="17">
        <v>98.0</v>
      </c>
      <c r="N29" s="19">
        <f t="shared" si="1"/>
        <v>2286</v>
      </c>
      <c r="O29" s="20">
        <f t="shared" si="2"/>
        <v>207.8181818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22.5" customHeight="1">
      <c r="A30" s="12">
        <v>45745.0</v>
      </c>
      <c r="B30" s="13">
        <v>628.0</v>
      </c>
      <c r="C30" s="17">
        <v>261.0</v>
      </c>
      <c r="D30" s="17">
        <v>381.0</v>
      </c>
      <c r="E30" s="16">
        <v>655.0</v>
      </c>
      <c r="F30" s="14">
        <v>5.0</v>
      </c>
      <c r="G30" s="16">
        <v>160.0</v>
      </c>
      <c r="H30" s="17">
        <v>85.0</v>
      </c>
      <c r="I30" s="17">
        <v>3.0</v>
      </c>
      <c r="J30" s="17">
        <v>44.0</v>
      </c>
      <c r="K30" s="100">
        <v>121.0</v>
      </c>
      <c r="L30" s="17">
        <v>78.0</v>
      </c>
      <c r="M30" s="17">
        <v>93.0</v>
      </c>
      <c r="N30" s="19">
        <f t="shared" si="1"/>
        <v>2514</v>
      </c>
      <c r="O30" s="20">
        <f t="shared" si="2"/>
        <v>228.5454545</v>
      </c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</row>
    <row r="31" ht="22.5" customHeight="1">
      <c r="A31" s="12">
        <v>45746.0</v>
      </c>
      <c r="B31" s="13">
        <v>607.0</v>
      </c>
      <c r="C31" s="17">
        <v>200.0</v>
      </c>
      <c r="D31" s="17">
        <v>361.0</v>
      </c>
      <c r="E31" s="16">
        <v>602.0</v>
      </c>
      <c r="F31" s="14">
        <v>5.0</v>
      </c>
      <c r="G31" s="16">
        <v>328.0</v>
      </c>
      <c r="H31" s="17">
        <v>79.0</v>
      </c>
      <c r="I31" s="17">
        <v>0.0</v>
      </c>
      <c r="J31" s="17">
        <v>41.0</v>
      </c>
      <c r="K31" s="100">
        <v>116.0</v>
      </c>
      <c r="L31" s="17">
        <v>69.0</v>
      </c>
      <c r="M31" s="17">
        <v>84.0</v>
      </c>
      <c r="N31" s="19">
        <f t="shared" si="1"/>
        <v>2492</v>
      </c>
      <c r="O31" s="20">
        <f t="shared" si="2"/>
        <v>226.5454545</v>
      </c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ht="22.5" customHeight="1">
      <c r="A32" s="12">
        <v>45747.0</v>
      </c>
      <c r="B32" s="13">
        <v>580.0</v>
      </c>
      <c r="C32" s="17">
        <v>934.0</v>
      </c>
      <c r="D32" s="17">
        <v>312.0</v>
      </c>
      <c r="E32" s="16">
        <v>584.0</v>
      </c>
      <c r="F32" s="14">
        <v>7.0</v>
      </c>
      <c r="G32" s="16">
        <v>310.0</v>
      </c>
      <c r="H32" s="17">
        <v>64.0</v>
      </c>
      <c r="I32" s="17">
        <v>21.0</v>
      </c>
      <c r="J32" s="17">
        <v>40.0</v>
      </c>
      <c r="K32" s="100">
        <v>98.0</v>
      </c>
      <c r="L32" s="17">
        <v>63.0</v>
      </c>
      <c r="M32" s="17">
        <v>78.0</v>
      </c>
      <c r="N32" s="19">
        <f t="shared" si="1"/>
        <v>3091</v>
      </c>
      <c r="O32" s="20">
        <f t="shared" si="2"/>
        <v>281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ht="22.5" customHeight="1">
      <c r="A33" s="12">
        <v>45748.0</v>
      </c>
      <c r="B33" s="21">
        <v>543.0</v>
      </c>
      <c r="C33" s="17">
        <v>888.0</v>
      </c>
      <c r="D33" s="17">
        <v>280.0</v>
      </c>
      <c r="E33" s="16">
        <v>511.0</v>
      </c>
      <c r="F33" s="14">
        <v>0.0</v>
      </c>
      <c r="G33" s="16">
        <v>282.0</v>
      </c>
      <c r="H33" s="17">
        <v>53.0</v>
      </c>
      <c r="I33" s="17">
        <v>19.0</v>
      </c>
      <c r="J33" s="17">
        <v>39.0</v>
      </c>
      <c r="K33" s="100">
        <v>360.0</v>
      </c>
      <c r="L33" s="17">
        <v>52.0</v>
      </c>
      <c r="M33" s="17">
        <v>67.0</v>
      </c>
      <c r="N33" s="19">
        <f t="shared" si="1"/>
        <v>3094</v>
      </c>
      <c r="O33" s="20">
        <f t="shared" si="2"/>
        <v>281.2727273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ht="22.5" customHeight="1">
      <c r="A34" s="12">
        <v>45749.0</v>
      </c>
      <c r="B34" s="21">
        <v>527.0</v>
      </c>
      <c r="C34" s="17">
        <v>865.0</v>
      </c>
      <c r="D34" s="17">
        <v>226.0</v>
      </c>
      <c r="E34" s="16">
        <v>444.0</v>
      </c>
      <c r="F34" s="14">
        <v>7.0</v>
      </c>
      <c r="G34" s="16">
        <v>250.0</v>
      </c>
      <c r="H34" s="17">
        <v>41.0</v>
      </c>
      <c r="I34" s="17">
        <v>13.0</v>
      </c>
      <c r="J34" s="17">
        <v>35.0</v>
      </c>
      <c r="K34" s="100">
        <v>351.0</v>
      </c>
      <c r="L34" s="17">
        <v>47.0</v>
      </c>
      <c r="M34" s="17">
        <v>62.0</v>
      </c>
      <c r="N34" s="19">
        <f t="shared" si="1"/>
        <v>2868</v>
      </c>
      <c r="O34" s="20">
        <f t="shared" si="2"/>
        <v>260.7272727</v>
      </c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22.5" customHeight="1">
      <c r="A35" s="12">
        <v>45750.0</v>
      </c>
      <c r="B35" s="21">
        <v>466.0</v>
      </c>
      <c r="C35" s="17">
        <v>836.0</v>
      </c>
      <c r="D35" s="17">
        <v>174.0</v>
      </c>
      <c r="E35" s="16">
        <v>413.0</v>
      </c>
      <c r="F35" s="14">
        <v>18.0</v>
      </c>
      <c r="G35" s="16">
        <v>227.0</v>
      </c>
      <c r="H35" s="17">
        <v>95.0</v>
      </c>
      <c r="I35" s="17">
        <v>9.0</v>
      </c>
      <c r="J35" s="17">
        <v>29.0</v>
      </c>
      <c r="K35" s="100">
        <v>344.0</v>
      </c>
      <c r="L35" s="17">
        <v>40.0</v>
      </c>
      <c r="M35" s="17">
        <v>55.0</v>
      </c>
      <c r="N35" s="19">
        <f t="shared" si="1"/>
        <v>2706</v>
      </c>
      <c r="O35" s="20">
        <f t="shared" si="2"/>
        <v>246</v>
      </c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22.5" customHeight="1">
      <c r="A36" s="12">
        <v>45751.0</v>
      </c>
      <c r="B36" s="21">
        <v>404.0</v>
      </c>
      <c r="C36" s="17">
        <v>812.0</v>
      </c>
      <c r="D36" s="17">
        <v>114.0</v>
      </c>
      <c r="E36" s="16">
        <v>296.0</v>
      </c>
      <c r="F36" s="14">
        <v>15.0</v>
      </c>
      <c r="G36" s="16">
        <v>211.0</v>
      </c>
      <c r="H36" s="17">
        <v>88.0</v>
      </c>
      <c r="I36" s="17">
        <v>2.0</v>
      </c>
      <c r="J36" s="17">
        <v>22.0</v>
      </c>
      <c r="K36" s="100">
        <v>332.0</v>
      </c>
      <c r="L36" s="17">
        <v>35.0</v>
      </c>
      <c r="M36" s="17">
        <v>50.0</v>
      </c>
      <c r="N36" s="19">
        <f t="shared" si="1"/>
        <v>2381</v>
      </c>
      <c r="O36" s="20">
        <f t="shared" si="2"/>
        <v>216.4545455</v>
      </c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ht="22.5" customHeight="1">
      <c r="A37" s="12">
        <v>45752.0</v>
      </c>
      <c r="B37" s="21">
        <v>358.0</v>
      </c>
      <c r="C37" s="17">
        <v>738.0</v>
      </c>
      <c r="D37" s="17">
        <v>68.0</v>
      </c>
      <c r="E37" s="16">
        <v>798.0</v>
      </c>
      <c r="F37" s="14">
        <v>3.0</v>
      </c>
      <c r="G37" s="16">
        <v>182.0</v>
      </c>
      <c r="H37" s="17">
        <v>70.0</v>
      </c>
      <c r="I37" s="17">
        <v>0.0</v>
      </c>
      <c r="J37" s="17">
        <v>20.0</v>
      </c>
      <c r="K37" s="100">
        <v>319.0</v>
      </c>
      <c r="L37" s="17">
        <v>26.0</v>
      </c>
      <c r="M37" s="17">
        <v>41.0</v>
      </c>
      <c r="N37" s="19">
        <f t="shared" si="1"/>
        <v>2623</v>
      </c>
      <c r="O37" s="20">
        <f t="shared" si="2"/>
        <v>238.4545455</v>
      </c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ht="22.5" customHeight="1">
      <c r="A38" s="12">
        <v>45753.0</v>
      </c>
      <c r="B38" s="21">
        <v>323.0</v>
      </c>
      <c r="C38" s="17">
        <v>684.0</v>
      </c>
      <c r="D38" s="17">
        <v>434.0</v>
      </c>
      <c r="E38" s="16">
        <v>740.0</v>
      </c>
      <c r="F38" s="14">
        <v>3.0</v>
      </c>
      <c r="G38" s="16">
        <v>161.0</v>
      </c>
      <c r="H38" s="17">
        <v>62.0</v>
      </c>
      <c r="I38" s="17">
        <v>19.0</v>
      </c>
      <c r="J38" s="17">
        <v>12.0</v>
      </c>
      <c r="K38" s="100">
        <v>309.0</v>
      </c>
      <c r="L38" s="17">
        <v>19.0</v>
      </c>
      <c r="M38" s="17">
        <v>34.0</v>
      </c>
      <c r="N38" s="19">
        <f t="shared" si="1"/>
        <v>2800</v>
      </c>
      <c r="O38" s="20">
        <f t="shared" si="2"/>
        <v>254.5454545</v>
      </c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ht="22.5" customHeight="1">
      <c r="A39" s="12">
        <v>45754.0</v>
      </c>
      <c r="B39" s="21">
        <v>245.0</v>
      </c>
      <c r="C39" s="17">
        <v>656.0</v>
      </c>
      <c r="D39" s="17">
        <v>352.0</v>
      </c>
      <c r="E39" s="16">
        <v>640.0</v>
      </c>
      <c r="F39" s="14">
        <v>12.0</v>
      </c>
      <c r="G39" s="16">
        <v>335.0</v>
      </c>
      <c r="H39" s="17">
        <v>56.0</v>
      </c>
      <c r="I39" s="17">
        <v>16.0</v>
      </c>
      <c r="J39" s="17">
        <v>39.0</v>
      </c>
      <c r="K39" s="100">
        <v>293.0</v>
      </c>
      <c r="L39" s="17">
        <v>8.0</v>
      </c>
      <c r="M39" s="17">
        <v>23.0</v>
      </c>
      <c r="N39" s="19">
        <f t="shared" si="1"/>
        <v>2675</v>
      </c>
      <c r="O39" s="20">
        <f t="shared" si="2"/>
        <v>243.1818182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ht="22.5" customHeight="1">
      <c r="A40" s="12">
        <v>45755.0</v>
      </c>
      <c r="B40" s="21">
        <v>185.0</v>
      </c>
      <c r="C40" s="17">
        <v>633.0</v>
      </c>
      <c r="D40" s="17">
        <v>330.0</v>
      </c>
      <c r="E40" s="16">
        <v>572.0</v>
      </c>
      <c r="F40" s="14">
        <v>13.0</v>
      </c>
      <c r="G40" s="16">
        <v>313.0</v>
      </c>
      <c r="H40" s="17">
        <v>48.0</v>
      </c>
      <c r="I40" s="17">
        <v>14.0</v>
      </c>
      <c r="J40" s="17">
        <v>35.5</v>
      </c>
      <c r="K40" s="100">
        <v>282.0</v>
      </c>
      <c r="L40" s="17">
        <v>79.0</v>
      </c>
      <c r="M40" s="17">
        <v>94.0</v>
      </c>
      <c r="N40" s="19">
        <f t="shared" si="1"/>
        <v>2598.5</v>
      </c>
      <c r="O40" s="20">
        <f t="shared" si="2"/>
        <v>236.2272727</v>
      </c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ht="22.5" customHeight="1">
      <c r="A41" s="12">
        <v>45756.0</v>
      </c>
      <c r="B41" s="21">
        <v>143.0</v>
      </c>
      <c r="C41" s="17">
        <v>615.0</v>
      </c>
      <c r="D41" s="17">
        <v>289.0</v>
      </c>
      <c r="E41" s="16">
        <v>521.0</v>
      </c>
      <c r="F41" s="14">
        <v>6.0</v>
      </c>
      <c r="G41" s="16">
        <v>284.0</v>
      </c>
      <c r="H41" s="17">
        <v>95.0</v>
      </c>
      <c r="I41" s="17">
        <v>10.0</v>
      </c>
      <c r="J41" s="17">
        <v>31.5</v>
      </c>
      <c r="K41" s="100">
        <v>265.0</v>
      </c>
      <c r="L41" s="17">
        <v>75.0</v>
      </c>
      <c r="M41" s="17">
        <v>90.0</v>
      </c>
      <c r="N41" s="19">
        <f t="shared" si="1"/>
        <v>2424.5</v>
      </c>
      <c r="O41" s="20">
        <f t="shared" si="2"/>
        <v>220.4090909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ht="22.5" customHeight="1">
      <c r="A42" s="12">
        <v>45757.0</v>
      </c>
      <c r="B42" s="21">
        <v>876.0</v>
      </c>
      <c r="C42" s="17">
        <v>580.0</v>
      </c>
      <c r="D42" s="17">
        <v>229.0</v>
      </c>
      <c r="E42" s="16">
        <v>484.0</v>
      </c>
      <c r="F42" s="14">
        <v>10.0</v>
      </c>
      <c r="G42" s="16">
        <v>267.0</v>
      </c>
      <c r="H42" s="17">
        <v>81.0</v>
      </c>
      <c r="I42" s="17">
        <v>5.0</v>
      </c>
      <c r="J42" s="17">
        <v>29.5</v>
      </c>
      <c r="K42" s="100">
        <v>254.0</v>
      </c>
      <c r="L42" s="17">
        <v>69.0</v>
      </c>
      <c r="M42" s="17">
        <v>84.0</v>
      </c>
      <c r="N42" s="19">
        <f t="shared" si="1"/>
        <v>2968.5</v>
      </c>
      <c r="O42" s="20">
        <f t="shared" si="2"/>
        <v>269.8636364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ht="22.5" customHeight="1">
      <c r="A43" s="12">
        <v>45758.0</v>
      </c>
      <c r="B43" s="21">
        <v>807.0</v>
      </c>
      <c r="C43" s="17">
        <v>526.0</v>
      </c>
      <c r="D43" s="17">
        <v>209.0</v>
      </c>
      <c r="E43" s="16">
        <v>415.0</v>
      </c>
      <c r="F43" s="14">
        <v>13.0</v>
      </c>
      <c r="G43" s="16">
        <v>239.0</v>
      </c>
      <c r="H43" s="17">
        <v>70.0</v>
      </c>
      <c r="I43" s="17">
        <v>3.0</v>
      </c>
      <c r="J43" s="17">
        <v>25.5</v>
      </c>
      <c r="K43" s="100">
        <v>237.0</v>
      </c>
      <c r="L43" s="17">
        <v>58.0</v>
      </c>
      <c r="M43" s="17">
        <v>73.0</v>
      </c>
      <c r="N43" s="19">
        <f t="shared" si="1"/>
        <v>2675.5</v>
      </c>
      <c r="O43" s="20">
        <f t="shared" si="2"/>
        <v>243.2272727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ht="22.5" customHeight="1">
      <c r="A44" s="12">
        <v>45759.0</v>
      </c>
      <c r="B44" s="21">
        <v>777.0</v>
      </c>
      <c r="C44" s="17">
        <v>503.0</v>
      </c>
      <c r="D44" s="17">
        <v>168.0</v>
      </c>
      <c r="E44" s="16">
        <v>326.0</v>
      </c>
      <c r="F44" s="14">
        <v>5.0</v>
      </c>
      <c r="G44" s="16">
        <v>208.0</v>
      </c>
      <c r="H44" s="17">
        <v>63.0</v>
      </c>
      <c r="I44" s="17">
        <v>3.0</v>
      </c>
      <c r="J44" s="17">
        <v>19.5</v>
      </c>
      <c r="K44" s="100">
        <v>222.0</v>
      </c>
      <c r="L44" s="17">
        <v>54.0</v>
      </c>
      <c r="M44" s="17">
        <v>69.0</v>
      </c>
      <c r="N44" s="19">
        <f t="shared" si="1"/>
        <v>2417.5</v>
      </c>
      <c r="O44" s="20">
        <f t="shared" si="2"/>
        <v>219.7727273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ht="22.5" customHeight="1">
      <c r="A45" s="12">
        <v>45760.0</v>
      </c>
      <c r="B45" s="21">
        <v>732.0</v>
      </c>
      <c r="C45" s="17">
        <v>439.0</v>
      </c>
      <c r="D45" s="17">
        <v>147.0</v>
      </c>
      <c r="E45" s="16">
        <v>902.0</v>
      </c>
      <c r="F45" s="14">
        <v>12.0</v>
      </c>
      <c r="G45" s="16">
        <v>190.0</v>
      </c>
      <c r="H45" s="17">
        <v>52.0</v>
      </c>
      <c r="I45" s="17">
        <v>0.0</v>
      </c>
      <c r="J45" s="17">
        <v>13.5</v>
      </c>
      <c r="K45" s="100">
        <v>212.0</v>
      </c>
      <c r="L45" s="17">
        <v>42.0</v>
      </c>
      <c r="M45" s="17">
        <v>57.0</v>
      </c>
      <c r="N45" s="19">
        <f t="shared" si="1"/>
        <v>2798.5</v>
      </c>
      <c r="O45" s="20">
        <f t="shared" si="2"/>
        <v>254.4090909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ht="22.5" customHeight="1">
      <c r="A46" s="12">
        <v>45761.0</v>
      </c>
      <c r="B46" s="13">
        <v>714.0</v>
      </c>
      <c r="C46" s="17">
        <v>387.0</v>
      </c>
      <c r="D46" s="17">
        <v>109.0</v>
      </c>
      <c r="E46" s="16">
        <v>831.0</v>
      </c>
      <c r="F46" s="14">
        <v>16.0</v>
      </c>
      <c r="G46" s="16">
        <v>158.0</v>
      </c>
      <c r="H46" s="17">
        <v>98.0</v>
      </c>
      <c r="I46" s="17">
        <v>28.0</v>
      </c>
      <c r="J46" s="17">
        <v>35.0</v>
      </c>
      <c r="K46" s="100">
        <v>197.0</v>
      </c>
      <c r="L46" s="17">
        <v>31.0</v>
      </c>
      <c r="M46" s="17">
        <v>46.0</v>
      </c>
      <c r="N46" s="19">
        <f t="shared" si="1"/>
        <v>2650</v>
      </c>
      <c r="O46" s="20">
        <f t="shared" si="2"/>
        <v>240.9090909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ht="22.5" customHeight="1">
      <c r="A47" s="12">
        <v>45762.0</v>
      </c>
      <c r="B47" s="13">
        <v>692.0</v>
      </c>
      <c r="C47" s="17">
        <v>352.0</v>
      </c>
      <c r="D47" s="17">
        <v>80.0</v>
      </c>
      <c r="E47" s="16">
        <v>760.0</v>
      </c>
      <c r="F47" s="14">
        <v>6.0</v>
      </c>
      <c r="G47" s="16">
        <v>336.0</v>
      </c>
      <c r="H47" s="17">
        <v>91.0</v>
      </c>
      <c r="I47" s="17">
        <v>25.0</v>
      </c>
      <c r="J47" s="17">
        <v>30.0</v>
      </c>
      <c r="K47" s="100">
        <v>181.0</v>
      </c>
      <c r="L47" s="17">
        <v>19.0</v>
      </c>
      <c r="M47" s="17">
        <v>34.0</v>
      </c>
      <c r="N47" s="19">
        <f t="shared" si="1"/>
        <v>2606</v>
      </c>
      <c r="O47" s="20">
        <f t="shared" si="2"/>
        <v>236.9090909</v>
      </c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ht="22.5" customHeight="1">
      <c r="A48" s="12">
        <v>45763.0</v>
      </c>
      <c r="B48" s="13">
        <v>634.0</v>
      </c>
      <c r="C48" s="17">
        <v>261.0</v>
      </c>
      <c r="D48" s="17">
        <v>428.0</v>
      </c>
      <c r="E48" s="16">
        <v>704.0</v>
      </c>
      <c r="F48" s="14">
        <v>13.0</v>
      </c>
      <c r="G48" s="16">
        <v>318.0</v>
      </c>
      <c r="H48" s="17">
        <v>86.0</v>
      </c>
      <c r="I48" s="17">
        <v>18.0</v>
      </c>
      <c r="J48" s="17">
        <v>28.0</v>
      </c>
      <c r="K48" s="100">
        <v>169.0</v>
      </c>
      <c r="L48" s="17">
        <v>12.0</v>
      </c>
      <c r="M48" s="17">
        <v>27.0</v>
      </c>
      <c r="N48" s="19">
        <f t="shared" si="1"/>
        <v>2698</v>
      </c>
      <c r="O48" s="20">
        <f t="shared" si="2"/>
        <v>245.2727273</v>
      </c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ht="22.5" customHeight="1">
      <c r="A49" s="12">
        <v>45764.0</v>
      </c>
      <c r="B49" s="13">
        <v>585.0</v>
      </c>
      <c r="C49" s="17">
        <v>190.0</v>
      </c>
      <c r="D49" s="17">
        <v>399.0</v>
      </c>
      <c r="E49" s="16">
        <v>633.0</v>
      </c>
      <c r="F49" s="14">
        <v>12.0</v>
      </c>
      <c r="G49" s="16">
        <v>302.0</v>
      </c>
      <c r="H49" s="17">
        <v>77.0</v>
      </c>
      <c r="I49" s="17">
        <v>10.0</v>
      </c>
      <c r="J49" s="17">
        <v>25.0</v>
      </c>
      <c r="K49" s="100">
        <v>154.0</v>
      </c>
      <c r="L49" s="17">
        <v>8.0</v>
      </c>
      <c r="M49" s="17">
        <v>23.0</v>
      </c>
      <c r="N49" s="19">
        <f t="shared" si="1"/>
        <v>2418</v>
      </c>
      <c r="O49" s="20">
        <f t="shared" si="2"/>
        <v>219.8181818</v>
      </c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ht="22.5" customHeight="1">
      <c r="A50" s="12">
        <v>45765.0</v>
      </c>
      <c r="B50" s="13">
        <v>556.0</v>
      </c>
      <c r="C50" s="17">
        <v>558.0</v>
      </c>
      <c r="D50" s="17">
        <v>328.0</v>
      </c>
      <c r="E50" s="16">
        <v>573.0</v>
      </c>
      <c r="F50" s="14">
        <v>7.0</v>
      </c>
      <c r="G50" s="16">
        <v>282.0</v>
      </c>
      <c r="H50" s="17">
        <v>65.0</v>
      </c>
      <c r="I50" s="17">
        <v>6.0</v>
      </c>
      <c r="J50" s="17">
        <v>21.0</v>
      </c>
      <c r="K50" s="100">
        <v>131.0</v>
      </c>
      <c r="L50" s="17">
        <v>82.0</v>
      </c>
      <c r="M50" s="17">
        <v>97.0</v>
      </c>
      <c r="N50" s="19">
        <f t="shared" si="1"/>
        <v>2706</v>
      </c>
      <c r="O50" s="20">
        <f t="shared" si="2"/>
        <v>246</v>
      </c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ht="22.5" customHeight="1">
      <c r="A51" s="12">
        <v>45766.0</v>
      </c>
      <c r="B51" s="13">
        <v>525.0</v>
      </c>
      <c r="C51" s="17">
        <v>499.0</v>
      </c>
      <c r="D51" s="17">
        <v>283.0</v>
      </c>
      <c r="E51" s="16">
        <v>518.0</v>
      </c>
      <c r="F51" s="14">
        <v>4.0</v>
      </c>
      <c r="G51" s="16">
        <v>258.0</v>
      </c>
      <c r="H51" s="17">
        <v>47.0</v>
      </c>
      <c r="I51" s="17">
        <v>28.5</v>
      </c>
      <c r="J51" s="17">
        <v>20.0</v>
      </c>
      <c r="K51" s="100">
        <v>114.0</v>
      </c>
      <c r="L51" s="17">
        <v>73.0</v>
      </c>
      <c r="M51" s="17">
        <v>88.0</v>
      </c>
      <c r="N51" s="19">
        <f t="shared" si="1"/>
        <v>2457.5</v>
      </c>
      <c r="O51" s="20">
        <f t="shared" si="2"/>
        <v>223.4090909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ht="22.5" customHeight="1">
      <c r="A52" s="12">
        <v>45767.0</v>
      </c>
      <c r="B52" s="13">
        <v>498.0</v>
      </c>
      <c r="C52" s="17">
        <v>440.0</v>
      </c>
      <c r="D52" s="17">
        <v>242.0</v>
      </c>
      <c r="E52" s="16">
        <v>454.0</v>
      </c>
      <c r="F52" s="14">
        <v>6.0</v>
      </c>
      <c r="G52" s="16">
        <v>240.0</v>
      </c>
      <c r="H52" s="17">
        <v>40.0</v>
      </c>
      <c r="I52" s="17">
        <v>25.5</v>
      </c>
      <c r="J52" s="17">
        <v>18.0</v>
      </c>
      <c r="K52" s="100">
        <v>96.0</v>
      </c>
      <c r="L52" s="17">
        <v>63.0</v>
      </c>
      <c r="M52" s="17">
        <v>78.0</v>
      </c>
      <c r="N52" s="19">
        <f t="shared" si="1"/>
        <v>2200.5</v>
      </c>
      <c r="O52" s="20">
        <f t="shared" si="2"/>
        <v>200.0454545</v>
      </c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ht="22.5" customHeight="1">
      <c r="A53" s="12">
        <v>45768.0</v>
      </c>
      <c r="B53" s="13">
        <v>436.0</v>
      </c>
      <c r="C53" s="17">
        <v>399.0</v>
      </c>
      <c r="D53" s="17">
        <v>223.0</v>
      </c>
      <c r="E53" s="16">
        <v>381.0</v>
      </c>
      <c r="F53" s="14">
        <v>9.0</v>
      </c>
      <c r="G53" s="16">
        <v>208.0</v>
      </c>
      <c r="H53" s="17">
        <v>94.0</v>
      </c>
      <c r="I53" s="17">
        <v>20.5</v>
      </c>
      <c r="J53" s="17">
        <v>15.0</v>
      </c>
      <c r="K53" s="100">
        <v>77.0</v>
      </c>
      <c r="L53" s="17">
        <v>58.0</v>
      </c>
      <c r="M53" s="17">
        <v>73.0</v>
      </c>
      <c r="N53" s="19">
        <f t="shared" si="1"/>
        <v>1993.5</v>
      </c>
      <c r="O53" s="20">
        <f t="shared" si="2"/>
        <v>181.2272727</v>
      </c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ht="22.5" customHeight="1">
      <c r="A54" s="12">
        <v>45769.0</v>
      </c>
      <c r="B54" s="13">
        <v>390.0</v>
      </c>
      <c r="C54" s="17">
        <v>351.0</v>
      </c>
      <c r="D54" s="17">
        <v>198.0</v>
      </c>
      <c r="E54" s="16">
        <v>369.0</v>
      </c>
      <c r="F54" s="14">
        <v>4.0</v>
      </c>
      <c r="G54" s="16">
        <v>182.0</v>
      </c>
      <c r="H54" s="17">
        <v>81.0</v>
      </c>
      <c r="I54" s="17">
        <v>18.5</v>
      </c>
      <c r="J54" s="17">
        <v>11.0</v>
      </c>
      <c r="K54" s="100">
        <v>52.0</v>
      </c>
      <c r="L54" s="17">
        <v>55.0</v>
      </c>
      <c r="M54" s="17">
        <v>70.0</v>
      </c>
      <c r="N54" s="19">
        <f t="shared" si="1"/>
        <v>1781.5</v>
      </c>
      <c r="O54" s="20">
        <f t="shared" si="2"/>
        <v>161.9545455</v>
      </c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ht="22.5" customHeight="1">
      <c r="A55" s="12">
        <v>45770.0</v>
      </c>
      <c r="B55" s="13">
        <v>367.0</v>
      </c>
      <c r="C55" s="17">
        <v>258.0</v>
      </c>
      <c r="D55" s="17">
        <v>163.0</v>
      </c>
      <c r="E55" s="16">
        <v>309.0</v>
      </c>
      <c r="F55" s="14">
        <v>3.0</v>
      </c>
      <c r="G55" s="16">
        <v>166.0</v>
      </c>
      <c r="H55" s="17">
        <v>72.0</v>
      </c>
      <c r="I55" s="17">
        <v>13.5</v>
      </c>
      <c r="J55" s="17">
        <v>35.0</v>
      </c>
      <c r="K55" s="100">
        <v>327.0</v>
      </c>
      <c r="L55" s="17">
        <v>49.0</v>
      </c>
      <c r="M55" s="17">
        <v>64.0</v>
      </c>
      <c r="N55" s="19">
        <f t="shared" si="1"/>
        <v>1826.5</v>
      </c>
      <c r="O55" s="20">
        <f t="shared" si="2"/>
        <v>166.0454545</v>
      </c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ht="22.5" customHeight="1">
      <c r="A56" s="12">
        <v>45771.0</v>
      </c>
      <c r="B56" s="13">
        <v>332.0</v>
      </c>
      <c r="C56" s="17">
        <v>234.0</v>
      </c>
      <c r="D56" s="17">
        <v>120.0</v>
      </c>
      <c r="E56" s="16">
        <v>249.0</v>
      </c>
      <c r="F56" s="14">
        <v>4.0</v>
      </c>
      <c r="G56" s="16">
        <v>142.0</v>
      </c>
      <c r="H56" s="17">
        <v>61.0</v>
      </c>
      <c r="I56" s="17">
        <v>10.5</v>
      </c>
      <c r="J56" s="17">
        <v>29.0</v>
      </c>
      <c r="K56" s="100">
        <v>312.0</v>
      </c>
      <c r="L56" s="17">
        <v>45.0</v>
      </c>
      <c r="M56" s="17">
        <v>60.0</v>
      </c>
      <c r="N56" s="19">
        <f t="shared" si="1"/>
        <v>1598.5</v>
      </c>
      <c r="O56" s="20">
        <f t="shared" si="2"/>
        <v>145.3181818</v>
      </c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ht="22.5" customHeight="1">
      <c r="A57" s="12">
        <v>45772.0</v>
      </c>
      <c r="B57" s="13">
        <v>281.0</v>
      </c>
      <c r="C57" s="17">
        <v>207.0</v>
      </c>
      <c r="D57" s="17">
        <v>84.0</v>
      </c>
      <c r="E57" s="16">
        <v>233.0</v>
      </c>
      <c r="F57" s="14">
        <v>9.0</v>
      </c>
      <c r="G57" s="16">
        <v>324.0</v>
      </c>
      <c r="H57" s="17">
        <v>56.0</v>
      </c>
      <c r="I57" s="17">
        <v>9.5</v>
      </c>
      <c r="J57" s="17">
        <v>24.0</v>
      </c>
      <c r="K57" s="100">
        <v>292.0</v>
      </c>
      <c r="L57" s="17">
        <v>35.0</v>
      </c>
      <c r="M57" s="17">
        <v>50.0</v>
      </c>
      <c r="N57" s="19">
        <f t="shared" si="1"/>
        <v>1604.5</v>
      </c>
      <c r="O57" s="20">
        <f t="shared" si="2"/>
        <v>145.8636364</v>
      </c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ht="22.5" customHeight="1">
      <c r="A58" s="12">
        <v>45773.0</v>
      </c>
      <c r="B58" s="13">
        <v>242.0</v>
      </c>
      <c r="C58" s="17">
        <v>176.0</v>
      </c>
      <c r="D58" s="17">
        <v>255.0</v>
      </c>
      <c r="E58" s="16">
        <v>203.0</v>
      </c>
      <c r="F58" s="14">
        <v>16.0</v>
      </c>
      <c r="G58" s="16">
        <v>296.0</v>
      </c>
      <c r="H58" s="17">
        <v>51.0</v>
      </c>
      <c r="I58" s="17">
        <v>5.5</v>
      </c>
      <c r="J58" s="17">
        <v>22.0</v>
      </c>
      <c r="K58" s="100">
        <v>278.0</v>
      </c>
      <c r="L58" s="17">
        <v>29.0</v>
      </c>
      <c r="M58" s="17">
        <v>44.0</v>
      </c>
      <c r="N58" s="19">
        <f t="shared" si="1"/>
        <v>1617.5</v>
      </c>
      <c r="O58" s="20">
        <f t="shared" si="2"/>
        <v>147.0454545</v>
      </c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ht="22.5" customHeight="1">
      <c r="A59" s="12">
        <v>45774.0</v>
      </c>
      <c r="B59" s="13">
        <v>1003.0</v>
      </c>
      <c r="C59" s="17">
        <v>137.0</v>
      </c>
      <c r="D59" s="17">
        <v>169.0</v>
      </c>
      <c r="E59" s="16">
        <v>521.0</v>
      </c>
      <c r="F59" s="14">
        <v>6.0</v>
      </c>
      <c r="G59" s="16">
        <v>266.0</v>
      </c>
      <c r="H59" s="17">
        <v>42.0</v>
      </c>
      <c r="I59" s="17">
        <v>9.5</v>
      </c>
      <c r="J59" s="17">
        <v>19.0</v>
      </c>
      <c r="K59" s="100">
        <v>260.0</v>
      </c>
      <c r="L59" s="17">
        <v>25.0</v>
      </c>
      <c r="M59" s="17">
        <v>40.0</v>
      </c>
      <c r="N59" s="19">
        <f t="shared" si="1"/>
        <v>2497.5</v>
      </c>
      <c r="O59" s="20">
        <f t="shared" si="2"/>
        <v>227.0454545</v>
      </c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ht="22.5" customHeight="1">
      <c r="A60" s="12">
        <v>45775.0</v>
      </c>
      <c r="B60" s="21">
        <v>963.0</v>
      </c>
      <c r="C60" s="17">
        <v>103.0</v>
      </c>
      <c r="D60" s="17">
        <v>132.0</v>
      </c>
      <c r="E60" s="16">
        <v>473.0</v>
      </c>
      <c r="F60" s="14">
        <v>7.0</v>
      </c>
      <c r="G60" s="16">
        <v>237.0</v>
      </c>
      <c r="H60" s="17">
        <v>86.0</v>
      </c>
      <c r="I60" s="17">
        <v>6.5</v>
      </c>
      <c r="J60" s="17">
        <v>12.0</v>
      </c>
      <c r="K60" s="100">
        <v>245.0</v>
      </c>
      <c r="L60" s="17">
        <v>17.0</v>
      </c>
      <c r="M60" s="17">
        <v>32.0</v>
      </c>
      <c r="N60" s="19">
        <f t="shared" si="1"/>
        <v>2313.5</v>
      </c>
      <c r="O60" s="20">
        <f t="shared" si="2"/>
        <v>210.3181818</v>
      </c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ht="22.5" customHeight="1">
      <c r="A61" s="12">
        <v>45776.0</v>
      </c>
      <c r="B61" s="21">
        <v>907.0</v>
      </c>
      <c r="C61" s="17">
        <v>81.0</v>
      </c>
      <c r="D61" s="17">
        <v>101.0</v>
      </c>
      <c r="E61" s="16">
        <v>446.0</v>
      </c>
      <c r="F61" s="14">
        <v>7.0</v>
      </c>
      <c r="G61" s="16">
        <v>215.0</v>
      </c>
      <c r="H61" s="17">
        <v>79.0</v>
      </c>
      <c r="I61" s="17">
        <v>4.5</v>
      </c>
      <c r="J61" s="17">
        <v>8.0</v>
      </c>
      <c r="K61" s="100">
        <v>234.0</v>
      </c>
      <c r="L61" s="17">
        <v>9.0</v>
      </c>
      <c r="M61" s="17">
        <v>24.0</v>
      </c>
      <c r="N61" s="19">
        <f t="shared" si="1"/>
        <v>2115.5</v>
      </c>
      <c r="O61" s="20">
        <f t="shared" si="2"/>
        <v>192.3181818</v>
      </c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ht="22.5" customHeight="1">
      <c r="A62" s="12">
        <v>45777.0</v>
      </c>
      <c r="B62" s="21">
        <v>834.0</v>
      </c>
      <c r="C62" s="17">
        <v>51.0</v>
      </c>
      <c r="D62" s="17">
        <v>79.0</v>
      </c>
      <c r="E62" s="16">
        <v>433.0</v>
      </c>
      <c r="F62" s="14">
        <v>4.0</v>
      </c>
      <c r="G62" s="16">
        <v>247.0</v>
      </c>
      <c r="H62" s="17">
        <v>72.0</v>
      </c>
      <c r="I62" s="17">
        <v>0.5</v>
      </c>
      <c r="J62" s="17">
        <v>33.0</v>
      </c>
      <c r="K62" s="100">
        <v>225.0</v>
      </c>
      <c r="L62" s="17">
        <v>77.0</v>
      </c>
      <c r="M62" s="17">
        <v>92.0</v>
      </c>
      <c r="N62" s="19">
        <f t="shared" si="1"/>
        <v>2147.5</v>
      </c>
      <c r="O62" s="20">
        <f t="shared" si="2"/>
        <v>195.2272727</v>
      </c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ht="22.5" customHeight="1">
      <c r="A63" s="24"/>
      <c r="B63" s="25">
        <f t="shared" ref="B63:N63" si="3">SUM(B2:B62)</f>
        <v>34570</v>
      </c>
      <c r="C63" s="25">
        <f t="shared" si="3"/>
        <v>31624</v>
      </c>
      <c r="D63" s="25">
        <f t="shared" si="3"/>
        <v>20396</v>
      </c>
      <c r="E63" s="25">
        <f t="shared" si="3"/>
        <v>36474</v>
      </c>
      <c r="F63" s="25">
        <f t="shared" si="3"/>
        <v>478</v>
      </c>
      <c r="G63" s="25">
        <f t="shared" si="3"/>
        <v>17740</v>
      </c>
      <c r="H63" s="25">
        <f t="shared" si="3"/>
        <v>4361</v>
      </c>
      <c r="I63" s="25">
        <f t="shared" si="3"/>
        <v>763</v>
      </c>
      <c r="J63" s="25">
        <f t="shared" si="3"/>
        <v>1595</v>
      </c>
      <c r="K63" s="25">
        <f t="shared" si="3"/>
        <v>12965</v>
      </c>
      <c r="L63" s="25">
        <f t="shared" si="3"/>
        <v>3974</v>
      </c>
      <c r="M63" s="25">
        <f t="shared" si="3"/>
        <v>4859</v>
      </c>
      <c r="N63" s="27">
        <f t="shared" si="3"/>
        <v>169799</v>
      </c>
      <c r="O63" s="101">
        <f>AVERAGE(O2:O62)</f>
        <v>253.0536513</v>
      </c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ht="22.5" customHeight="1">
      <c r="A64" s="12"/>
      <c r="B64" s="28" t="s">
        <v>27</v>
      </c>
      <c r="C64" s="28" t="s">
        <v>28</v>
      </c>
      <c r="D64" s="28" t="s">
        <v>29</v>
      </c>
      <c r="E64" s="28" t="s">
        <v>30</v>
      </c>
      <c r="F64" s="29" t="s">
        <v>31</v>
      </c>
      <c r="G64" s="28" t="s">
        <v>32</v>
      </c>
      <c r="H64" s="28" t="s">
        <v>33</v>
      </c>
      <c r="I64" s="29" t="s">
        <v>34</v>
      </c>
      <c r="J64" s="28" t="s">
        <v>35</v>
      </c>
      <c r="K64" s="28" t="s">
        <v>36</v>
      </c>
      <c r="L64" s="29" t="s">
        <v>37</v>
      </c>
      <c r="M64" s="29" t="s">
        <v>38</v>
      </c>
      <c r="N64" s="102" t="s">
        <v>67</v>
      </c>
      <c r="O64" s="103" t="s">
        <v>69</v>
      </c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>
      <c r="A66" s="11"/>
      <c r="B66" s="104">
        <f t="shared" ref="B66:L66" si="4">AVERAGE(B2:B62)</f>
        <v>566.7213115</v>
      </c>
      <c r="C66" s="104">
        <f t="shared" si="4"/>
        <v>518.4262295</v>
      </c>
      <c r="D66" s="104">
        <f t="shared" si="4"/>
        <v>334.3606557</v>
      </c>
      <c r="E66" s="104">
        <f t="shared" si="4"/>
        <v>597.9344262</v>
      </c>
      <c r="F66" s="104">
        <f t="shared" si="4"/>
        <v>7.836065574</v>
      </c>
      <c r="G66" s="104">
        <f t="shared" si="4"/>
        <v>290.8196721</v>
      </c>
      <c r="H66" s="104">
        <f t="shared" si="4"/>
        <v>71.49180328</v>
      </c>
      <c r="I66" s="104">
        <f t="shared" si="4"/>
        <v>12.50819672</v>
      </c>
      <c r="J66" s="104">
        <f t="shared" si="4"/>
        <v>26.14754098</v>
      </c>
      <c r="K66" s="104">
        <f t="shared" si="4"/>
        <v>212.5409836</v>
      </c>
      <c r="L66" s="104">
        <f t="shared" si="4"/>
        <v>65.14754098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>
      <c r="A70" s="11"/>
      <c r="B70" s="11"/>
      <c r="C70" s="11"/>
      <c r="D70" s="11"/>
      <c r="E70" s="11"/>
      <c r="F70" s="11"/>
      <c r="G70" s="11"/>
      <c r="H70" s="55"/>
      <c r="I70" s="55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>
      <c r="A71" s="11"/>
      <c r="B71" s="11"/>
      <c r="C71" s="11"/>
      <c r="D71" s="11"/>
      <c r="E71" s="11"/>
      <c r="F71" s="11"/>
      <c r="G71" s="11"/>
      <c r="H71" s="55"/>
      <c r="I71" s="55"/>
      <c r="J71" s="11"/>
      <c r="K71" s="11"/>
      <c r="L71" s="11"/>
      <c r="M71" s="11"/>
      <c r="N71" s="11"/>
      <c r="O71" s="65"/>
      <c r="P71" s="65"/>
      <c r="Q71" s="65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>
      <c r="A72" s="11"/>
      <c r="B72" s="11"/>
      <c r="C72" s="11"/>
      <c r="D72" s="11"/>
      <c r="E72" s="11"/>
      <c r="F72" s="11"/>
      <c r="G72" s="11"/>
      <c r="H72" s="55"/>
      <c r="I72" s="55"/>
      <c r="J72" s="11"/>
      <c r="K72" s="11"/>
      <c r="L72" s="11"/>
      <c r="M72" s="11"/>
      <c r="N72" s="11"/>
      <c r="O72" s="53"/>
      <c r="P72" s="11"/>
      <c r="Q72" s="105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ht="22.5" customHeight="1">
      <c r="A73" s="11"/>
      <c r="B73" s="11"/>
      <c r="C73" s="11"/>
      <c r="D73" s="11"/>
      <c r="E73" s="11"/>
      <c r="F73" s="11"/>
      <c r="G73" s="11"/>
      <c r="H73" s="55"/>
      <c r="I73" s="55"/>
      <c r="J73" s="11"/>
      <c r="K73" s="11"/>
      <c r="L73" s="106" t="s">
        <v>46</v>
      </c>
      <c r="M73" s="106" t="s">
        <v>70</v>
      </c>
      <c r="N73" s="106" t="s">
        <v>71</v>
      </c>
      <c r="O73" s="106" t="s">
        <v>65</v>
      </c>
      <c r="P73" s="11"/>
      <c r="Q73" s="105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ht="22.5" customHeight="1">
      <c r="A74" s="11"/>
      <c r="B74" s="11"/>
      <c r="C74" s="11"/>
      <c r="D74" s="11"/>
      <c r="E74" s="11"/>
      <c r="F74" s="11"/>
      <c r="G74" s="11"/>
      <c r="H74" s="55"/>
      <c r="I74" s="55"/>
      <c r="J74" s="11"/>
      <c r="K74" s="11"/>
      <c r="L74" s="106" t="s">
        <v>51</v>
      </c>
      <c r="M74" s="107">
        <v>36474.0</v>
      </c>
      <c r="N74" s="108">
        <v>21.480691876866175</v>
      </c>
      <c r="O74" s="109">
        <v>21.48</v>
      </c>
      <c r="P74" s="11"/>
      <c r="Q74" s="105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ht="22.5" customHeight="1">
      <c r="A75" s="11"/>
      <c r="B75" s="11"/>
      <c r="C75" s="11"/>
      <c r="D75" s="11"/>
      <c r="E75" s="11"/>
      <c r="F75" s="11"/>
      <c r="G75" s="11"/>
      <c r="H75" s="55"/>
      <c r="I75" s="55"/>
      <c r="J75" s="11"/>
      <c r="K75" s="11"/>
      <c r="L75" s="106" t="s">
        <v>27</v>
      </c>
      <c r="M75" s="107">
        <v>34570.0</v>
      </c>
      <c r="N75" s="108">
        <f t="shared" ref="N75:N85" si="5">M75/$N$63*100</f>
        <v>20.35936607</v>
      </c>
      <c r="O75" s="109">
        <f t="shared" ref="O75:O85" si="6">O74+N75</f>
        <v>41.83936607</v>
      </c>
      <c r="P75" s="11"/>
      <c r="Q75" s="105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ht="22.5" customHeight="1">
      <c r="A76" s="11"/>
      <c r="B76" s="11"/>
      <c r="C76" s="11"/>
      <c r="D76" s="11"/>
      <c r="E76" s="11"/>
      <c r="F76" s="11"/>
      <c r="G76" s="11"/>
      <c r="H76" s="55"/>
      <c r="I76" s="55"/>
      <c r="J76" s="11"/>
      <c r="K76" s="11"/>
      <c r="L76" s="106" t="s">
        <v>48</v>
      </c>
      <c r="M76" s="107">
        <v>31624.0</v>
      </c>
      <c r="N76" s="108">
        <f t="shared" si="5"/>
        <v>18.62437352</v>
      </c>
      <c r="O76" s="109">
        <f t="shared" si="6"/>
        <v>60.4637396</v>
      </c>
      <c r="P76" s="11"/>
      <c r="Q76" s="110" t="s">
        <v>72</v>
      </c>
      <c r="R76" s="111" t="s">
        <v>73</v>
      </c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ht="22.5" customHeight="1">
      <c r="A77" s="11"/>
      <c r="B77" s="11"/>
      <c r="C77" s="11"/>
      <c r="D77" s="11"/>
      <c r="E77" s="11"/>
      <c r="F77" s="11"/>
      <c r="G77" s="11"/>
      <c r="H77" s="55"/>
      <c r="I77" s="55"/>
      <c r="J77" s="11"/>
      <c r="K77" s="11"/>
      <c r="L77" s="106" t="s">
        <v>29</v>
      </c>
      <c r="M77" s="107">
        <v>20396.0</v>
      </c>
      <c r="N77" s="108">
        <f t="shared" si="5"/>
        <v>12.0118493</v>
      </c>
      <c r="O77" s="109">
        <f t="shared" si="6"/>
        <v>72.4755889</v>
      </c>
      <c r="P77" s="11"/>
      <c r="Q77" s="112" t="s">
        <v>74</v>
      </c>
      <c r="R77" s="113">
        <v>4.0</v>
      </c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ht="22.5" customHeight="1">
      <c r="A78" s="11"/>
      <c r="B78" s="11"/>
      <c r="C78" s="11"/>
      <c r="D78" s="11"/>
      <c r="E78" s="11"/>
      <c r="F78" s="11"/>
      <c r="G78" s="11"/>
      <c r="H78" s="55"/>
      <c r="I78" s="55"/>
      <c r="J78" s="11"/>
      <c r="K78" s="11"/>
      <c r="L78" s="106" t="s">
        <v>32</v>
      </c>
      <c r="M78" s="107">
        <v>17740.0</v>
      </c>
      <c r="N78" s="108">
        <f t="shared" si="5"/>
        <v>10.44764692</v>
      </c>
      <c r="O78" s="109">
        <f t="shared" si="6"/>
        <v>82.92323583</v>
      </c>
      <c r="P78" s="11"/>
      <c r="Q78" s="112" t="s">
        <v>75</v>
      </c>
      <c r="R78" s="113">
        <v>2.0</v>
      </c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ht="22.5" customHeight="1">
      <c r="A79" s="11"/>
      <c r="B79" s="11"/>
      <c r="C79" s="11"/>
      <c r="D79" s="11"/>
      <c r="E79" s="11"/>
      <c r="F79" s="11"/>
      <c r="G79" s="11"/>
      <c r="H79" s="55"/>
      <c r="I79" s="55"/>
      <c r="J79" s="11"/>
      <c r="K79" s="11"/>
      <c r="L79" s="106" t="s">
        <v>36</v>
      </c>
      <c r="M79" s="107">
        <v>12965.0</v>
      </c>
      <c r="N79" s="108">
        <f t="shared" si="5"/>
        <v>7.635498442</v>
      </c>
      <c r="O79" s="109">
        <f t="shared" si="6"/>
        <v>90.55873427</v>
      </c>
      <c r="P79" s="11"/>
      <c r="Q79" s="112" t="s">
        <v>76</v>
      </c>
      <c r="R79" s="113">
        <v>6.0</v>
      </c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ht="22.5" customHeight="1">
      <c r="A80" s="11"/>
      <c r="B80" s="11"/>
      <c r="C80" s="11"/>
      <c r="D80" s="11"/>
      <c r="E80" s="11"/>
      <c r="F80" s="11"/>
      <c r="G80" s="11"/>
      <c r="H80" s="55"/>
      <c r="I80" s="55"/>
      <c r="J80" s="11"/>
      <c r="K80" s="11"/>
      <c r="L80" s="106" t="s">
        <v>38</v>
      </c>
      <c r="M80" s="107">
        <v>4859.0</v>
      </c>
      <c r="N80" s="108">
        <f t="shared" si="5"/>
        <v>2.861618737</v>
      </c>
      <c r="O80" s="109">
        <f t="shared" si="6"/>
        <v>93.42035301</v>
      </c>
      <c r="P80" s="11"/>
      <c r="Q80" s="105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ht="22.5" customHeight="1">
      <c r="A81" s="11"/>
      <c r="B81" s="11"/>
      <c r="C81" s="11"/>
      <c r="D81" s="11"/>
      <c r="E81" s="11"/>
      <c r="F81" s="11"/>
      <c r="G81" s="11"/>
      <c r="H81" s="55"/>
      <c r="I81" s="55"/>
      <c r="J81" s="11"/>
      <c r="K81" s="11"/>
      <c r="L81" s="106" t="s">
        <v>33</v>
      </c>
      <c r="M81" s="107">
        <v>4361.0</v>
      </c>
      <c r="N81" s="108">
        <f t="shared" si="5"/>
        <v>2.568330791</v>
      </c>
      <c r="O81" s="109">
        <f t="shared" si="6"/>
        <v>95.9886838</v>
      </c>
      <c r="P81" s="11"/>
      <c r="Q81" s="105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ht="22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06" t="s">
        <v>37</v>
      </c>
      <c r="M82" s="107">
        <v>3974.0</v>
      </c>
      <c r="N82" s="108">
        <f t="shared" si="5"/>
        <v>2.340414255</v>
      </c>
      <c r="O82" s="109">
        <f t="shared" si="6"/>
        <v>98.32909805</v>
      </c>
      <c r="P82" s="11"/>
      <c r="Q82" s="105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ht="22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06" t="s">
        <v>35</v>
      </c>
      <c r="M83" s="107">
        <v>1595.0</v>
      </c>
      <c r="N83" s="108">
        <f t="shared" si="5"/>
        <v>0.9393459325</v>
      </c>
      <c r="O83" s="109">
        <f t="shared" si="6"/>
        <v>99.26844398</v>
      </c>
      <c r="P83" s="11"/>
      <c r="Q83" s="105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ht="22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06" t="s">
        <v>34</v>
      </c>
      <c r="M84" s="107">
        <v>763.0</v>
      </c>
      <c r="N84" s="108">
        <f t="shared" si="5"/>
        <v>0.4493548254</v>
      </c>
      <c r="O84" s="109">
        <f t="shared" si="6"/>
        <v>99.71779881</v>
      </c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ht="22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06" t="s">
        <v>31</v>
      </c>
      <c r="M85" s="107">
        <v>478.0</v>
      </c>
      <c r="N85" s="108">
        <f t="shared" si="5"/>
        <v>0.281509314</v>
      </c>
      <c r="O85" s="109">
        <f t="shared" si="6"/>
        <v>99.99930812</v>
      </c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55"/>
      <c r="R91" s="55"/>
      <c r="S91" s="55"/>
      <c r="T91" s="55"/>
      <c r="U91" s="11"/>
      <c r="V91" s="11"/>
      <c r="W91" s="55"/>
      <c r="X91" s="55"/>
      <c r="Y91" s="55"/>
      <c r="Z91" s="11"/>
      <c r="AA91" s="11"/>
      <c r="AB91" s="11"/>
      <c r="AC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55"/>
      <c r="R92" s="55"/>
      <c r="S92" s="55"/>
      <c r="T92" s="55"/>
      <c r="U92" s="11"/>
      <c r="V92" s="11"/>
      <c r="W92" s="55"/>
      <c r="X92" s="55"/>
      <c r="Y92" s="55"/>
      <c r="Z92" s="11"/>
      <c r="AA92" s="11"/>
      <c r="AB92" s="11"/>
      <c r="AC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55"/>
      <c r="R93" s="55"/>
      <c r="S93" s="55"/>
      <c r="T93" s="55"/>
      <c r="U93" s="11"/>
      <c r="V93" s="11"/>
      <c r="W93" s="55"/>
      <c r="X93" s="55"/>
      <c r="Y93" s="55"/>
      <c r="Z93" s="11"/>
      <c r="AA93" s="11"/>
      <c r="AB93" s="11"/>
      <c r="AC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55"/>
      <c r="R94" s="55"/>
      <c r="S94" s="55"/>
      <c r="T94" s="55"/>
      <c r="U94" s="11"/>
      <c r="V94" s="11"/>
      <c r="W94" s="55"/>
      <c r="X94" s="55"/>
      <c r="Y94" s="55"/>
      <c r="Z94" s="11"/>
      <c r="AA94" s="11"/>
      <c r="AB94" s="11"/>
      <c r="AC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55"/>
      <c r="R95" s="55"/>
      <c r="S95" s="55"/>
      <c r="T95" s="55"/>
      <c r="U95" s="11"/>
      <c r="V95" s="11"/>
      <c r="W95" s="55"/>
      <c r="X95" s="55"/>
      <c r="Y95" s="55"/>
      <c r="Z95" s="11"/>
      <c r="AA95" s="11"/>
      <c r="AB95" s="11"/>
      <c r="AC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55"/>
      <c r="R96" s="55"/>
      <c r="S96" s="55"/>
      <c r="T96" s="55"/>
      <c r="U96" s="11"/>
      <c r="V96" s="11"/>
      <c r="W96" s="55"/>
      <c r="X96" s="55"/>
      <c r="Y96" s="55"/>
      <c r="Z96" s="11"/>
      <c r="AA96" s="11"/>
      <c r="AB96" s="11"/>
      <c r="AC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55"/>
      <c r="R97" s="55"/>
      <c r="S97" s="55"/>
      <c r="T97" s="55"/>
      <c r="U97" s="11"/>
      <c r="V97" s="11"/>
      <c r="W97" s="55"/>
      <c r="X97" s="55"/>
      <c r="Y97" s="55"/>
      <c r="Z97" s="11"/>
      <c r="AA97" s="11"/>
      <c r="AB97" s="11"/>
      <c r="AC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55"/>
      <c r="R98" s="55"/>
      <c r="S98" s="55"/>
      <c r="T98" s="55"/>
      <c r="U98" s="11"/>
      <c r="V98" s="11"/>
      <c r="W98" s="55"/>
      <c r="X98" s="55"/>
      <c r="Y98" s="55"/>
      <c r="Z98" s="11"/>
      <c r="AA98" s="11"/>
      <c r="AB98" s="11"/>
      <c r="AC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55"/>
      <c r="R99" s="55"/>
      <c r="S99" s="55"/>
      <c r="T99" s="55"/>
      <c r="U99" s="11"/>
      <c r="V99" s="11"/>
      <c r="W99" s="55"/>
      <c r="X99" s="55"/>
      <c r="Y99" s="55"/>
      <c r="Z99" s="11"/>
      <c r="AA99" s="11"/>
      <c r="AB99" s="11"/>
      <c r="AC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55"/>
      <c r="R100" s="55"/>
      <c r="S100" s="55"/>
      <c r="T100" s="55"/>
      <c r="U100" s="11"/>
      <c r="V100" s="11"/>
      <c r="W100" s="55"/>
      <c r="X100" s="55"/>
      <c r="Y100" s="55"/>
      <c r="Z100" s="11"/>
      <c r="AA100" s="11"/>
      <c r="AB100" s="11"/>
      <c r="AC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55"/>
      <c r="R101" s="55"/>
      <c r="S101" s="55"/>
      <c r="T101" s="55"/>
      <c r="U101" s="11"/>
      <c r="V101" s="11"/>
      <c r="W101" s="55"/>
      <c r="X101" s="55"/>
      <c r="Y101" s="55"/>
      <c r="Z101" s="11"/>
      <c r="AA101" s="11"/>
      <c r="AB101" s="11"/>
      <c r="AC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55"/>
      <c r="R102" s="55"/>
      <c r="S102" s="55"/>
      <c r="T102" s="55"/>
      <c r="U102" s="11"/>
      <c r="V102" s="11"/>
      <c r="W102" s="55"/>
      <c r="X102" s="55"/>
      <c r="Y102" s="55"/>
      <c r="Z102" s="11"/>
      <c r="AA102" s="11"/>
      <c r="AB102" s="11"/>
      <c r="AC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53"/>
      <c r="R119" s="53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53"/>
      <c r="R120" s="53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53"/>
      <c r="R121" s="53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53"/>
      <c r="R122" s="53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</row>
    <row r="996"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</row>
    <row r="997"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</row>
    <row r="998"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</row>
    <row r="999"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</row>
  </sheetData>
  <dataValidations>
    <dataValidation type="custom" allowBlank="1" showDropDown="1" sqref="A2:A64">
      <formula1>OR(NOT(ISERROR(DATEVALUE(A2))), AND(ISNUMBER(A2), LEFT(CELL("format", A2))="D"))</formula1>
    </dataValidation>
    <dataValidation type="custom" allowBlank="1" showDropDown="1" sqref="O2:O64 M74:O85">
      <formula1>AND(ISNUMBER(M2),(NOT(OR(NOT(ISERROR(DATEVALUE(M2))), AND(ISNUMBER(M2), LEFT(CELL("format", M2))="D")))))</formula1>
    </dataValidation>
  </dataValidations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7.0"/>
    <col customWidth="1" min="3" max="3" width="14.63"/>
  </cols>
  <sheetData>
    <row r="1" ht="22.5" customHeight="1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11"/>
      <c r="O1" s="11"/>
      <c r="P1" s="11"/>
    </row>
    <row r="2" ht="22.5" customHeight="1">
      <c r="A2" s="12">
        <v>45717.0</v>
      </c>
      <c r="B2" s="114">
        <v>48.5</v>
      </c>
      <c r="C2" s="115">
        <v>42.0</v>
      </c>
      <c r="D2" s="116">
        <v>113.0</v>
      </c>
      <c r="E2" s="116">
        <v>32.5</v>
      </c>
      <c r="F2" s="117">
        <v>57.0</v>
      </c>
      <c r="G2" s="116">
        <v>30.0</v>
      </c>
      <c r="H2" s="116">
        <v>112.0</v>
      </c>
      <c r="I2" s="116">
        <v>600.0</v>
      </c>
      <c r="J2" s="116">
        <v>620.0</v>
      </c>
      <c r="K2" s="116">
        <v>40.0</v>
      </c>
      <c r="L2" s="116">
        <v>118.0</v>
      </c>
      <c r="M2" s="116">
        <v>115.0</v>
      </c>
      <c r="N2" s="55"/>
      <c r="O2" s="55"/>
      <c r="P2" s="55"/>
      <c r="R2" s="55"/>
      <c r="S2" s="55"/>
      <c r="T2" s="55"/>
      <c r="V2" s="55"/>
      <c r="W2" s="55"/>
      <c r="X2" s="55"/>
      <c r="Z2" s="55"/>
      <c r="AA2" s="55"/>
      <c r="AB2" s="55"/>
      <c r="AD2" s="55"/>
      <c r="AE2" s="55"/>
      <c r="AF2" s="55"/>
      <c r="AH2" s="55"/>
      <c r="AI2" s="55"/>
      <c r="AJ2" s="55"/>
    </row>
    <row r="3" ht="22.5" customHeight="1">
      <c r="A3" s="12">
        <v>45718.0</v>
      </c>
      <c r="B3" s="114">
        <v>48.5</v>
      </c>
      <c r="C3" s="118">
        <v>42.0</v>
      </c>
      <c r="D3" s="116">
        <v>113.0</v>
      </c>
      <c r="E3" s="116">
        <v>32.5</v>
      </c>
      <c r="F3" s="117">
        <v>57.0</v>
      </c>
      <c r="G3" s="116">
        <v>30.0</v>
      </c>
      <c r="H3" s="116">
        <v>112.0</v>
      </c>
      <c r="I3" s="116">
        <v>600.0</v>
      </c>
      <c r="J3" s="116">
        <v>620.0</v>
      </c>
      <c r="K3" s="116">
        <v>40.0</v>
      </c>
      <c r="L3" s="116">
        <v>118.0</v>
      </c>
      <c r="M3" s="116">
        <v>115.0</v>
      </c>
      <c r="N3" s="55"/>
      <c r="O3" s="55"/>
      <c r="P3" s="55"/>
      <c r="R3" s="55"/>
      <c r="S3" s="55"/>
      <c r="T3" s="55"/>
      <c r="V3" s="55"/>
      <c r="W3" s="55"/>
      <c r="X3" s="55"/>
      <c r="Z3" s="55"/>
      <c r="AA3" s="55"/>
      <c r="AB3" s="55"/>
      <c r="AD3" s="55"/>
      <c r="AE3" s="55"/>
      <c r="AF3" s="55"/>
      <c r="AH3" s="55"/>
      <c r="AI3" s="55"/>
      <c r="AJ3" s="55"/>
    </row>
    <row r="4" ht="22.5" customHeight="1">
      <c r="A4" s="12">
        <v>45719.0</v>
      </c>
      <c r="B4" s="114">
        <v>48.5</v>
      </c>
      <c r="C4" s="115">
        <v>42.0</v>
      </c>
      <c r="D4" s="116">
        <v>113.0</v>
      </c>
      <c r="E4" s="116">
        <v>32.5</v>
      </c>
      <c r="F4" s="117">
        <v>57.0</v>
      </c>
      <c r="G4" s="116">
        <v>30.0</v>
      </c>
      <c r="H4" s="116">
        <v>112.0</v>
      </c>
      <c r="I4" s="116">
        <v>600.0</v>
      </c>
      <c r="J4" s="116">
        <v>620.0</v>
      </c>
      <c r="K4" s="116">
        <v>40.0</v>
      </c>
      <c r="L4" s="116">
        <v>118.0</v>
      </c>
      <c r="M4" s="116">
        <v>115.0</v>
      </c>
      <c r="N4" s="55"/>
      <c r="O4" s="55"/>
      <c r="P4" s="55"/>
      <c r="R4" s="55"/>
      <c r="S4" s="55"/>
      <c r="T4" s="55"/>
      <c r="V4" s="55"/>
      <c r="W4" s="55"/>
      <c r="X4" s="55"/>
      <c r="Z4" s="55"/>
      <c r="AA4" s="55"/>
      <c r="AB4" s="55"/>
      <c r="AD4" s="55"/>
      <c r="AE4" s="55"/>
      <c r="AF4" s="55"/>
      <c r="AH4" s="55"/>
      <c r="AI4" s="55"/>
      <c r="AJ4" s="55"/>
    </row>
    <row r="5" ht="22.5" customHeight="1">
      <c r="A5" s="12">
        <v>45720.0</v>
      </c>
      <c r="B5" s="114">
        <v>48.5</v>
      </c>
      <c r="C5" s="118">
        <v>42.0</v>
      </c>
      <c r="D5" s="116">
        <v>113.0</v>
      </c>
      <c r="E5" s="116">
        <v>32.5</v>
      </c>
      <c r="F5" s="117">
        <v>57.0</v>
      </c>
      <c r="G5" s="116">
        <v>30.0</v>
      </c>
      <c r="H5" s="116">
        <v>112.0</v>
      </c>
      <c r="I5" s="116">
        <v>600.0</v>
      </c>
      <c r="J5" s="116">
        <v>620.0</v>
      </c>
      <c r="K5" s="116">
        <v>40.0</v>
      </c>
      <c r="L5" s="116">
        <v>118.0</v>
      </c>
      <c r="M5" s="116">
        <v>115.0</v>
      </c>
      <c r="N5" s="55"/>
      <c r="O5" s="55"/>
      <c r="P5" s="55"/>
      <c r="R5" s="55"/>
      <c r="S5" s="55"/>
      <c r="T5" s="55"/>
      <c r="V5" s="55"/>
      <c r="W5" s="55"/>
      <c r="X5" s="55"/>
      <c r="Z5" s="55"/>
      <c r="AA5" s="55"/>
      <c r="AB5" s="55"/>
      <c r="AD5" s="55"/>
      <c r="AE5" s="55"/>
      <c r="AF5" s="55"/>
      <c r="AH5" s="55"/>
      <c r="AI5" s="55"/>
      <c r="AJ5" s="55"/>
    </row>
    <row r="6" ht="22.5" customHeight="1">
      <c r="A6" s="12">
        <v>45721.0</v>
      </c>
      <c r="B6" s="114">
        <v>48.5</v>
      </c>
      <c r="C6" s="115">
        <v>42.0</v>
      </c>
      <c r="D6" s="116">
        <v>113.0</v>
      </c>
      <c r="E6" s="116">
        <v>32.5</v>
      </c>
      <c r="F6" s="117">
        <v>57.0</v>
      </c>
      <c r="G6" s="116">
        <v>30.0</v>
      </c>
      <c r="H6" s="116">
        <v>112.0</v>
      </c>
      <c r="I6" s="116">
        <v>600.0</v>
      </c>
      <c r="J6" s="116">
        <v>620.0</v>
      </c>
      <c r="K6" s="116">
        <v>40.0</v>
      </c>
      <c r="L6" s="116">
        <v>118.0</v>
      </c>
      <c r="M6" s="116">
        <v>115.0</v>
      </c>
      <c r="N6" s="55"/>
      <c r="O6" s="55"/>
      <c r="P6" s="55"/>
      <c r="R6" s="55"/>
      <c r="S6" s="55"/>
      <c r="T6" s="55"/>
      <c r="V6" s="55"/>
      <c r="W6" s="55"/>
      <c r="X6" s="55"/>
      <c r="Z6" s="55"/>
      <c r="AA6" s="55"/>
      <c r="AB6" s="55"/>
      <c r="AD6" s="55"/>
      <c r="AE6" s="55"/>
      <c r="AF6" s="55"/>
      <c r="AH6" s="55"/>
      <c r="AI6" s="55"/>
      <c r="AJ6" s="55"/>
    </row>
    <row r="7" ht="22.5" customHeight="1">
      <c r="A7" s="12">
        <v>45722.0</v>
      </c>
      <c r="B7" s="114">
        <v>48.5</v>
      </c>
      <c r="C7" s="118">
        <v>42.0</v>
      </c>
      <c r="D7" s="116">
        <v>113.0</v>
      </c>
      <c r="E7" s="116">
        <v>32.5</v>
      </c>
      <c r="F7" s="117">
        <v>57.0</v>
      </c>
      <c r="G7" s="116">
        <v>30.0</v>
      </c>
      <c r="H7" s="116">
        <v>112.0</v>
      </c>
      <c r="I7" s="116">
        <v>600.0</v>
      </c>
      <c r="J7" s="116">
        <v>620.0</v>
      </c>
      <c r="K7" s="116">
        <v>40.0</v>
      </c>
      <c r="L7" s="116">
        <v>118.0</v>
      </c>
      <c r="M7" s="116">
        <v>115.0</v>
      </c>
      <c r="N7" s="55"/>
      <c r="O7" s="55"/>
      <c r="P7" s="55"/>
      <c r="R7" s="55"/>
      <c r="S7" s="55"/>
      <c r="T7" s="55"/>
      <c r="V7" s="55"/>
      <c r="W7" s="55"/>
      <c r="X7" s="55"/>
      <c r="Z7" s="55"/>
      <c r="AA7" s="55"/>
      <c r="AB7" s="55"/>
      <c r="AD7" s="55"/>
      <c r="AE7" s="55"/>
      <c r="AF7" s="55"/>
      <c r="AH7" s="55"/>
      <c r="AI7" s="55"/>
      <c r="AJ7" s="55"/>
    </row>
    <row r="8" ht="22.5" customHeight="1">
      <c r="A8" s="12">
        <v>45723.0</v>
      </c>
      <c r="B8" s="114">
        <v>48.5</v>
      </c>
      <c r="C8" s="115">
        <v>42.0</v>
      </c>
      <c r="D8" s="116">
        <v>113.0</v>
      </c>
      <c r="E8" s="116">
        <v>32.5</v>
      </c>
      <c r="F8" s="117">
        <v>57.0</v>
      </c>
      <c r="G8" s="116">
        <v>30.0</v>
      </c>
      <c r="H8" s="116">
        <v>112.0</v>
      </c>
      <c r="I8" s="116">
        <v>600.0</v>
      </c>
      <c r="J8" s="116">
        <v>620.0</v>
      </c>
      <c r="K8" s="116">
        <v>40.0</v>
      </c>
      <c r="L8" s="116">
        <v>118.0</v>
      </c>
      <c r="M8" s="116">
        <v>115.0</v>
      </c>
      <c r="N8" s="55"/>
      <c r="O8" s="55"/>
      <c r="P8" s="55"/>
      <c r="R8" s="55"/>
      <c r="S8" s="55"/>
      <c r="T8" s="55"/>
      <c r="V8" s="55"/>
      <c r="W8" s="55"/>
      <c r="X8" s="55"/>
      <c r="Z8" s="55"/>
      <c r="AA8" s="55"/>
      <c r="AB8" s="55"/>
      <c r="AD8" s="55"/>
      <c r="AE8" s="55"/>
      <c r="AF8" s="55"/>
      <c r="AH8" s="55"/>
      <c r="AI8" s="55"/>
      <c r="AJ8" s="55"/>
    </row>
    <row r="9" ht="22.5" customHeight="1">
      <c r="A9" s="12">
        <v>45724.0</v>
      </c>
      <c r="B9" s="114">
        <v>48.5</v>
      </c>
      <c r="C9" s="118">
        <v>42.0</v>
      </c>
      <c r="D9" s="116">
        <v>113.0</v>
      </c>
      <c r="E9" s="116">
        <v>32.5</v>
      </c>
      <c r="F9" s="117">
        <v>57.0</v>
      </c>
      <c r="G9" s="116">
        <v>30.0</v>
      </c>
      <c r="H9" s="116">
        <v>112.0</v>
      </c>
      <c r="I9" s="116">
        <v>600.0</v>
      </c>
      <c r="J9" s="116">
        <v>620.0</v>
      </c>
      <c r="K9" s="116">
        <v>40.0</v>
      </c>
      <c r="L9" s="116">
        <v>118.0</v>
      </c>
      <c r="M9" s="116">
        <v>115.0</v>
      </c>
      <c r="N9" s="55"/>
      <c r="O9" s="55"/>
      <c r="P9" s="55"/>
      <c r="R9" s="55"/>
      <c r="S9" s="55"/>
      <c r="T9" s="55"/>
      <c r="V9" s="55"/>
      <c r="W9" s="55"/>
      <c r="X9" s="55"/>
      <c r="Z9" s="55"/>
      <c r="AA9" s="55"/>
      <c r="AB9" s="55"/>
      <c r="AD9" s="55"/>
      <c r="AE9" s="55"/>
      <c r="AF9" s="55"/>
      <c r="AH9" s="55"/>
      <c r="AI9" s="55"/>
      <c r="AJ9" s="55"/>
    </row>
    <row r="10" ht="22.5" customHeight="1">
      <c r="A10" s="12">
        <v>45725.0</v>
      </c>
      <c r="B10" s="114">
        <v>48.5</v>
      </c>
      <c r="C10" s="115">
        <v>42.0</v>
      </c>
      <c r="D10" s="116">
        <v>113.0</v>
      </c>
      <c r="E10" s="116">
        <v>32.5</v>
      </c>
      <c r="F10" s="117">
        <v>57.0</v>
      </c>
      <c r="G10" s="116">
        <v>30.0</v>
      </c>
      <c r="H10" s="116">
        <v>116.0</v>
      </c>
      <c r="I10" s="116">
        <v>600.0</v>
      </c>
      <c r="J10" s="116">
        <v>620.0</v>
      </c>
      <c r="K10" s="116">
        <v>40.0</v>
      </c>
      <c r="L10" s="116">
        <v>118.0</v>
      </c>
      <c r="M10" s="116">
        <v>115.0</v>
      </c>
      <c r="N10" s="55"/>
      <c r="O10" s="55"/>
      <c r="P10" s="55"/>
      <c r="R10" s="55"/>
      <c r="S10" s="55"/>
      <c r="T10" s="55"/>
      <c r="V10" s="55"/>
      <c r="W10" s="55"/>
      <c r="X10" s="55"/>
      <c r="Z10" s="55"/>
      <c r="AA10" s="55"/>
      <c r="AB10" s="55"/>
      <c r="AD10" s="55"/>
      <c r="AE10" s="55"/>
      <c r="AF10" s="55"/>
      <c r="AH10" s="55"/>
      <c r="AI10" s="55"/>
      <c r="AJ10" s="55"/>
    </row>
    <row r="11" ht="22.5" customHeight="1">
      <c r="A11" s="12">
        <v>45726.0</v>
      </c>
      <c r="B11" s="114">
        <v>48.5</v>
      </c>
      <c r="C11" s="119">
        <v>43.0</v>
      </c>
      <c r="D11" s="116">
        <v>113.0</v>
      </c>
      <c r="E11" s="116">
        <v>32.5</v>
      </c>
      <c r="F11" s="117">
        <v>57.0</v>
      </c>
      <c r="G11" s="116">
        <v>30.0</v>
      </c>
      <c r="H11" s="116">
        <v>116.0</v>
      </c>
      <c r="I11" s="116">
        <v>600.0</v>
      </c>
      <c r="J11" s="116">
        <v>620.0</v>
      </c>
      <c r="K11" s="116">
        <v>40.0</v>
      </c>
      <c r="L11" s="116">
        <v>118.0</v>
      </c>
      <c r="M11" s="116">
        <v>115.0</v>
      </c>
      <c r="N11" s="55"/>
      <c r="O11" s="55"/>
      <c r="P11" s="55"/>
      <c r="R11" s="55"/>
      <c r="S11" s="55"/>
      <c r="T11" s="55"/>
      <c r="V11" s="55"/>
      <c r="W11" s="55"/>
      <c r="X11" s="55"/>
      <c r="Z11" s="55"/>
      <c r="AA11" s="55"/>
      <c r="AB11" s="55"/>
      <c r="AD11" s="55"/>
      <c r="AE11" s="55"/>
      <c r="AF11" s="55"/>
      <c r="AH11" s="55"/>
      <c r="AI11" s="55"/>
      <c r="AJ11" s="55"/>
    </row>
    <row r="12" ht="22.5" customHeight="1">
      <c r="A12" s="12">
        <v>45727.0</v>
      </c>
      <c r="B12" s="114">
        <v>48.5</v>
      </c>
      <c r="C12" s="119">
        <v>43.0</v>
      </c>
      <c r="D12" s="116">
        <v>113.0</v>
      </c>
      <c r="E12" s="116">
        <v>32.5</v>
      </c>
      <c r="F12" s="117">
        <v>57.0</v>
      </c>
      <c r="G12" s="116">
        <v>30.0</v>
      </c>
      <c r="H12" s="116">
        <v>116.0</v>
      </c>
      <c r="I12" s="116">
        <v>600.0</v>
      </c>
      <c r="J12" s="116">
        <v>620.0</v>
      </c>
      <c r="K12" s="116">
        <v>40.0</v>
      </c>
      <c r="L12" s="116">
        <v>118.0</v>
      </c>
      <c r="M12" s="116">
        <v>115.0</v>
      </c>
      <c r="N12" s="55"/>
      <c r="O12" s="55"/>
      <c r="P12" s="55"/>
      <c r="R12" s="55"/>
      <c r="S12" s="55"/>
      <c r="T12" s="55"/>
      <c r="V12" s="55"/>
      <c r="W12" s="55"/>
      <c r="X12" s="55"/>
      <c r="Z12" s="55"/>
      <c r="AA12" s="55"/>
      <c r="AB12" s="55"/>
      <c r="AD12" s="55"/>
      <c r="AE12" s="55"/>
      <c r="AF12" s="55"/>
      <c r="AH12" s="55"/>
      <c r="AI12" s="55"/>
      <c r="AJ12" s="55"/>
    </row>
    <row r="13" ht="22.5" customHeight="1">
      <c r="A13" s="12">
        <v>45728.0</v>
      </c>
      <c r="B13" s="114">
        <v>48.5</v>
      </c>
      <c r="C13" s="119">
        <v>43.0</v>
      </c>
      <c r="D13" s="116">
        <v>113.0</v>
      </c>
      <c r="E13" s="116">
        <v>32.5</v>
      </c>
      <c r="F13" s="117">
        <v>57.0</v>
      </c>
      <c r="G13" s="116">
        <v>30.0</v>
      </c>
      <c r="H13" s="116">
        <v>116.0</v>
      </c>
      <c r="I13" s="116">
        <v>600.0</v>
      </c>
      <c r="J13" s="116">
        <v>620.0</v>
      </c>
      <c r="K13" s="116">
        <v>40.0</v>
      </c>
      <c r="L13" s="116">
        <v>118.0</v>
      </c>
      <c r="M13" s="116">
        <v>115.0</v>
      </c>
      <c r="N13" s="55"/>
      <c r="O13" s="55"/>
      <c r="P13" s="55"/>
      <c r="R13" s="55"/>
      <c r="S13" s="55"/>
      <c r="T13" s="55"/>
      <c r="V13" s="55"/>
      <c r="W13" s="55"/>
      <c r="X13" s="55"/>
      <c r="Z13" s="55"/>
      <c r="AA13" s="55"/>
      <c r="AB13" s="55"/>
      <c r="AD13" s="55"/>
      <c r="AE13" s="55"/>
      <c r="AF13" s="55"/>
      <c r="AH13" s="55"/>
      <c r="AI13" s="55"/>
      <c r="AJ13" s="55"/>
    </row>
    <row r="14" ht="22.5" customHeight="1">
      <c r="A14" s="12">
        <v>45729.0</v>
      </c>
      <c r="B14" s="114">
        <v>48.5</v>
      </c>
      <c r="C14" s="119">
        <v>43.0</v>
      </c>
      <c r="D14" s="116">
        <v>113.0</v>
      </c>
      <c r="E14" s="116">
        <v>32.5</v>
      </c>
      <c r="F14" s="117">
        <v>57.0</v>
      </c>
      <c r="G14" s="116">
        <v>30.0</v>
      </c>
      <c r="H14" s="116">
        <v>116.0</v>
      </c>
      <c r="I14" s="116">
        <v>600.0</v>
      </c>
      <c r="J14" s="116">
        <v>620.0</v>
      </c>
      <c r="K14" s="116">
        <v>40.0</v>
      </c>
      <c r="L14" s="116">
        <v>118.0</v>
      </c>
      <c r="M14" s="116">
        <v>115.0</v>
      </c>
      <c r="N14" s="55"/>
      <c r="O14" s="55"/>
      <c r="P14" s="55"/>
      <c r="R14" s="55"/>
      <c r="S14" s="55"/>
      <c r="T14" s="55"/>
      <c r="V14" s="55"/>
      <c r="W14" s="55"/>
      <c r="X14" s="55"/>
      <c r="Z14" s="55"/>
      <c r="AA14" s="55"/>
      <c r="AB14" s="55"/>
      <c r="AD14" s="55"/>
      <c r="AE14" s="55"/>
      <c r="AF14" s="55"/>
      <c r="AH14" s="55"/>
      <c r="AI14" s="55"/>
      <c r="AJ14" s="55"/>
    </row>
    <row r="15" ht="22.5" customHeight="1">
      <c r="A15" s="12">
        <v>45730.0</v>
      </c>
      <c r="B15" s="114">
        <v>48.5</v>
      </c>
      <c r="C15" s="119">
        <v>43.0</v>
      </c>
      <c r="D15" s="116">
        <v>113.0</v>
      </c>
      <c r="E15" s="116">
        <v>32.5</v>
      </c>
      <c r="F15" s="117">
        <v>57.0</v>
      </c>
      <c r="G15" s="116">
        <v>30.0</v>
      </c>
      <c r="H15" s="116">
        <v>116.0</v>
      </c>
      <c r="I15" s="116">
        <v>600.0</v>
      </c>
      <c r="J15" s="116">
        <v>620.0</v>
      </c>
      <c r="K15" s="116">
        <v>40.0</v>
      </c>
      <c r="L15" s="116">
        <v>118.0</v>
      </c>
      <c r="M15" s="116">
        <v>115.0</v>
      </c>
      <c r="N15" s="55"/>
      <c r="O15" s="55"/>
      <c r="P15" s="55"/>
      <c r="R15" s="55"/>
      <c r="S15" s="55"/>
      <c r="T15" s="55"/>
      <c r="V15" s="55"/>
      <c r="W15" s="55"/>
      <c r="X15" s="55"/>
      <c r="Z15" s="55"/>
      <c r="AA15" s="55"/>
      <c r="AB15" s="55"/>
      <c r="AD15" s="55"/>
      <c r="AE15" s="55"/>
      <c r="AF15" s="55"/>
      <c r="AH15" s="55"/>
      <c r="AI15" s="55"/>
      <c r="AJ15" s="55"/>
    </row>
    <row r="16" ht="22.5" customHeight="1">
      <c r="A16" s="12">
        <v>45731.0</v>
      </c>
      <c r="B16" s="114">
        <v>48.5</v>
      </c>
      <c r="C16" s="119">
        <v>43.0</v>
      </c>
      <c r="D16" s="116">
        <v>113.0</v>
      </c>
      <c r="E16" s="116">
        <v>32.5</v>
      </c>
      <c r="F16" s="117">
        <v>57.0</v>
      </c>
      <c r="G16" s="116">
        <v>30.0</v>
      </c>
      <c r="H16" s="116">
        <v>116.0</v>
      </c>
      <c r="I16" s="116">
        <v>610.0</v>
      </c>
      <c r="J16" s="116">
        <v>620.0</v>
      </c>
      <c r="K16" s="116">
        <v>40.0</v>
      </c>
      <c r="L16" s="116">
        <v>118.0</v>
      </c>
      <c r="M16" s="116">
        <v>115.0</v>
      </c>
      <c r="N16" s="55"/>
      <c r="O16" s="55"/>
      <c r="P16" s="55"/>
      <c r="R16" s="55"/>
      <c r="S16" s="55"/>
      <c r="T16" s="55"/>
      <c r="V16" s="55"/>
      <c r="W16" s="55"/>
      <c r="X16" s="55"/>
      <c r="Z16" s="55"/>
      <c r="AA16" s="55"/>
      <c r="AB16" s="55"/>
      <c r="AD16" s="55"/>
      <c r="AE16" s="55"/>
      <c r="AF16" s="55"/>
      <c r="AH16" s="55"/>
      <c r="AI16" s="55"/>
      <c r="AJ16" s="55"/>
    </row>
    <row r="17" ht="22.5" customHeight="1">
      <c r="A17" s="12">
        <v>45732.0</v>
      </c>
      <c r="B17" s="114">
        <v>48.5</v>
      </c>
      <c r="C17" s="119">
        <v>43.0</v>
      </c>
      <c r="D17" s="116">
        <v>113.0</v>
      </c>
      <c r="E17" s="116">
        <v>32.5</v>
      </c>
      <c r="F17" s="117">
        <v>57.0</v>
      </c>
      <c r="G17" s="116">
        <v>30.0</v>
      </c>
      <c r="H17" s="116">
        <v>116.0</v>
      </c>
      <c r="I17" s="116">
        <v>610.0</v>
      </c>
      <c r="J17" s="116">
        <v>620.0</v>
      </c>
      <c r="K17" s="116">
        <v>40.0</v>
      </c>
      <c r="L17" s="116">
        <v>118.0</v>
      </c>
      <c r="M17" s="116">
        <v>115.0</v>
      </c>
      <c r="N17" s="55"/>
      <c r="O17" s="55"/>
      <c r="P17" s="55"/>
      <c r="R17" s="55"/>
      <c r="S17" s="55"/>
      <c r="T17" s="55"/>
      <c r="V17" s="55"/>
      <c r="W17" s="55"/>
      <c r="X17" s="55"/>
      <c r="Z17" s="55"/>
      <c r="AA17" s="55"/>
      <c r="AB17" s="55"/>
      <c r="AD17" s="55"/>
      <c r="AE17" s="55"/>
      <c r="AF17" s="55"/>
      <c r="AH17" s="55"/>
      <c r="AI17" s="55"/>
      <c r="AJ17" s="55"/>
    </row>
    <row r="18" ht="22.5" customHeight="1">
      <c r="A18" s="12">
        <v>45733.0</v>
      </c>
      <c r="B18" s="114">
        <v>48.5</v>
      </c>
      <c r="C18" s="119">
        <v>43.0</v>
      </c>
      <c r="D18" s="116">
        <v>113.0</v>
      </c>
      <c r="E18" s="116">
        <v>32.5</v>
      </c>
      <c r="F18" s="117">
        <v>57.0</v>
      </c>
      <c r="G18" s="116">
        <v>30.0</v>
      </c>
      <c r="H18" s="116">
        <v>116.0</v>
      </c>
      <c r="I18" s="116">
        <v>610.0</v>
      </c>
      <c r="J18" s="116">
        <v>620.0</v>
      </c>
      <c r="K18" s="116">
        <v>40.0</v>
      </c>
      <c r="L18" s="116">
        <v>120.0</v>
      </c>
      <c r="M18" s="116">
        <v>115.0</v>
      </c>
      <c r="N18" s="55"/>
      <c r="O18" s="55"/>
      <c r="P18" s="55"/>
      <c r="R18" s="55"/>
      <c r="S18" s="55"/>
      <c r="T18" s="55"/>
      <c r="V18" s="55"/>
      <c r="W18" s="55"/>
      <c r="X18" s="55"/>
      <c r="Z18" s="55"/>
      <c r="AA18" s="55"/>
      <c r="AB18" s="55"/>
      <c r="AD18" s="55"/>
      <c r="AE18" s="55"/>
      <c r="AF18" s="55"/>
      <c r="AH18" s="55"/>
      <c r="AI18" s="55"/>
      <c r="AJ18" s="55"/>
    </row>
    <row r="19" ht="22.5" customHeight="1">
      <c r="A19" s="12">
        <v>45734.0</v>
      </c>
      <c r="B19" s="114">
        <v>48.5</v>
      </c>
      <c r="C19" s="119">
        <v>43.0</v>
      </c>
      <c r="D19" s="116">
        <v>113.0</v>
      </c>
      <c r="E19" s="116">
        <v>32.5</v>
      </c>
      <c r="F19" s="117">
        <v>57.0</v>
      </c>
      <c r="G19" s="116">
        <v>30.0</v>
      </c>
      <c r="H19" s="116">
        <v>116.0</v>
      </c>
      <c r="I19" s="116">
        <v>610.0</v>
      </c>
      <c r="J19" s="116">
        <v>620.0</v>
      </c>
      <c r="K19" s="116">
        <v>40.0</v>
      </c>
      <c r="L19" s="116">
        <v>120.0</v>
      </c>
      <c r="M19" s="116">
        <v>115.0</v>
      </c>
      <c r="N19" s="55"/>
      <c r="O19" s="55"/>
      <c r="P19" s="55"/>
      <c r="R19" s="55"/>
      <c r="S19" s="55"/>
      <c r="T19" s="55"/>
      <c r="V19" s="55"/>
      <c r="W19" s="55"/>
      <c r="X19" s="55"/>
      <c r="Z19" s="55"/>
      <c r="AA19" s="55"/>
      <c r="AB19" s="55"/>
      <c r="AD19" s="55"/>
      <c r="AE19" s="55"/>
      <c r="AF19" s="55"/>
      <c r="AH19" s="55"/>
      <c r="AI19" s="55"/>
      <c r="AJ19" s="55"/>
    </row>
    <row r="20" ht="22.5" customHeight="1">
      <c r="A20" s="12">
        <v>45735.0</v>
      </c>
      <c r="B20" s="114">
        <v>48.5</v>
      </c>
      <c r="C20" s="119">
        <v>43.0</v>
      </c>
      <c r="D20" s="116">
        <v>113.0</v>
      </c>
      <c r="E20" s="116">
        <v>32.5</v>
      </c>
      <c r="F20" s="117">
        <v>57.0</v>
      </c>
      <c r="G20" s="116">
        <v>30.0</v>
      </c>
      <c r="H20" s="116">
        <v>116.0</v>
      </c>
      <c r="I20" s="116">
        <v>610.0</v>
      </c>
      <c r="J20" s="116">
        <v>620.0</v>
      </c>
      <c r="K20" s="116">
        <v>40.0</v>
      </c>
      <c r="L20" s="116">
        <v>120.0</v>
      </c>
      <c r="M20" s="116">
        <v>115.0</v>
      </c>
      <c r="N20" s="55"/>
      <c r="O20" s="55"/>
      <c r="P20" s="55"/>
      <c r="R20" s="55"/>
      <c r="S20" s="55"/>
      <c r="T20" s="55"/>
      <c r="V20" s="55"/>
      <c r="W20" s="55"/>
      <c r="X20" s="55"/>
      <c r="Z20" s="55"/>
      <c r="AA20" s="55"/>
      <c r="AB20" s="55"/>
      <c r="AD20" s="55"/>
      <c r="AE20" s="55"/>
      <c r="AF20" s="55"/>
      <c r="AH20" s="55"/>
      <c r="AI20" s="55"/>
      <c r="AJ20" s="55"/>
    </row>
    <row r="21" ht="22.5" customHeight="1">
      <c r="A21" s="12">
        <v>45736.0</v>
      </c>
      <c r="B21" s="114">
        <v>48.5</v>
      </c>
      <c r="C21" s="119">
        <v>43.0</v>
      </c>
      <c r="D21" s="116">
        <v>113.0</v>
      </c>
      <c r="E21" s="116">
        <v>32.5</v>
      </c>
      <c r="F21" s="117">
        <v>57.0</v>
      </c>
      <c r="G21" s="116">
        <v>30.0</v>
      </c>
      <c r="H21" s="116">
        <v>117.0</v>
      </c>
      <c r="I21" s="116">
        <v>610.0</v>
      </c>
      <c r="J21" s="116">
        <v>620.0</v>
      </c>
      <c r="K21" s="116">
        <v>40.0</v>
      </c>
      <c r="L21" s="116">
        <v>120.0</v>
      </c>
      <c r="M21" s="116">
        <v>115.0</v>
      </c>
      <c r="N21" s="55"/>
      <c r="O21" s="55"/>
      <c r="P21" s="55"/>
      <c r="R21" s="55"/>
      <c r="S21" s="55"/>
      <c r="T21" s="55"/>
      <c r="V21" s="55"/>
      <c r="W21" s="55"/>
      <c r="X21" s="55"/>
      <c r="Z21" s="55"/>
      <c r="AA21" s="55"/>
      <c r="AB21" s="55"/>
      <c r="AD21" s="55"/>
      <c r="AE21" s="55"/>
      <c r="AF21" s="55"/>
      <c r="AH21" s="55"/>
      <c r="AI21" s="55"/>
      <c r="AJ21" s="55"/>
    </row>
    <row r="22" ht="22.5" customHeight="1">
      <c r="A22" s="12">
        <v>45737.0</v>
      </c>
      <c r="B22" s="114">
        <v>48.5</v>
      </c>
      <c r="C22" s="119">
        <v>43.0</v>
      </c>
      <c r="D22" s="116">
        <v>113.0</v>
      </c>
      <c r="E22" s="116">
        <v>32.5</v>
      </c>
      <c r="F22" s="117">
        <v>57.0</v>
      </c>
      <c r="G22" s="116">
        <v>30.0</v>
      </c>
      <c r="H22" s="116">
        <v>117.0</v>
      </c>
      <c r="I22" s="116">
        <v>610.0</v>
      </c>
      <c r="J22" s="116">
        <v>620.0</v>
      </c>
      <c r="K22" s="116">
        <v>40.0</v>
      </c>
      <c r="L22" s="116">
        <v>120.0</v>
      </c>
      <c r="M22" s="116">
        <v>115.0</v>
      </c>
      <c r="N22" s="55"/>
      <c r="O22" s="55"/>
      <c r="P22" s="55"/>
      <c r="R22" s="55"/>
      <c r="S22" s="55"/>
      <c r="T22" s="55"/>
      <c r="V22" s="55"/>
      <c r="W22" s="55"/>
      <c r="X22" s="55"/>
      <c r="Z22" s="55"/>
      <c r="AA22" s="55"/>
      <c r="AB22" s="55"/>
      <c r="AD22" s="55"/>
      <c r="AE22" s="55"/>
      <c r="AF22" s="55"/>
      <c r="AH22" s="55"/>
      <c r="AI22" s="55"/>
      <c r="AJ22" s="55"/>
    </row>
    <row r="23" ht="22.5" customHeight="1">
      <c r="A23" s="12">
        <v>45738.0</v>
      </c>
      <c r="B23" s="114">
        <v>48.5</v>
      </c>
      <c r="C23" s="119">
        <v>43.0</v>
      </c>
      <c r="D23" s="116">
        <v>113.0</v>
      </c>
      <c r="E23" s="116">
        <v>32.5</v>
      </c>
      <c r="F23" s="117">
        <v>57.0</v>
      </c>
      <c r="G23" s="116">
        <v>30.0</v>
      </c>
      <c r="H23" s="116">
        <v>117.0</v>
      </c>
      <c r="I23" s="116">
        <v>610.0</v>
      </c>
      <c r="J23" s="116">
        <v>620.0</v>
      </c>
      <c r="K23" s="116">
        <v>40.0</v>
      </c>
      <c r="L23" s="116">
        <v>120.0</v>
      </c>
      <c r="M23" s="116">
        <v>115.0</v>
      </c>
      <c r="N23" s="55"/>
      <c r="O23" s="55"/>
      <c r="P23" s="55"/>
      <c r="R23" s="55"/>
      <c r="S23" s="55"/>
      <c r="T23" s="55"/>
      <c r="V23" s="55"/>
      <c r="W23" s="55"/>
      <c r="X23" s="55"/>
      <c r="Z23" s="55"/>
      <c r="AA23" s="55"/>
      <c r="AB23" s="55"/>
      <c r="AD23" s="55"/>
      <c r="AE23" s="55"/>
      <c r="AF23" s="55"/>
      <c r="AH23" s="55"/>
      <c r="AI23" s="55"/>
      <c r="AJ23" s="55"/>
    </row>
    <row r="24" ht="22.5" customHeight="1">
      <c r="A24" s="12">
        <v>45739.0</v>
      </c>
      <c r="B24" s="114">
        <v>48.5</v>
      </c>
      <c r="C24" s="119">
        <v>43.0</v>
      </c>
      <c r="D24" s="116">
        <v>113.0</v>
      </c>
      <c r="E24" s="116">
        <v>32.5</v>
      </c>
      <c r="F24" s="117">
        <v>57.0</v>
      </c>
      <c r="G24" s="116">
        <v>30.0</v>
      </c>
      <c r="H24" s="116">
        <v>117.0</v>
      </c>
      <c r="I24" s="116">
        <v>610.0</v>
      </c>
      <c r="J24" s="116">
        <v>620.0</v>
      </c>
      <c r="K24" s="116">
        <v>40.0</v>
      </c>
      <c r="L24" s="116">
        <v>120.0</v>
      </c>
      <c r="M24" s="116">
        <v>115.0</v>
      </c>
      <c r="N24" s="55"/>
      <c r="O24" s="55"/>
      <c r="P24" s="55"/>
      <c r="R24" s="55"/>
      <c r="S24" s="55"/>
      <c r="T24" s="55"/>
      <c r="V24" s="55"/>
      <c r="W24" s="55"/>
      <c r="X24" s="55"/>
      <c r="Z24" s="55"/>
      <c r="AA24" s="55"/>
      <c r="AB24" s="55"/>
      <c r="AD24" s="55"/>
      <c r="AE24" s="55"/>
      <c r="AF24" s="55"/>
      <c r="AH24" s="55"/>
      <c r="AI24" s="55"/>
      <c r="AJ24" s="55"/>
    </row>
    <row r="25" ht="22.5" customHeight="1">
      <c r="A25" s="12">
        <v>45740.0</v>
      </c>
      <c r="B25" s="114">
        <v>48.5</v>
      </c>
      <c r="C25" s="119">
        <v>43.0</v>
      </c>
      <c r="D25" s="116">
        <v>119.0</v>
      </c>
      <c r="E25" s="116">
        <v>32.5</v>
      </c>
      <c r="F25" s="117">
        <v>57.0</v>
      </c>
      <c r="G25" s="116">
        <v>30.0</v>
      </c>
      <c r="H25" s="116">
        <v>117.0</v>
      </c>
      <c r="I25" s="116">
        <v>610.0</v>
      </c>
      <c r="J25" s="116">
        <v>620.0</v>
      </c>
      <c r="K25" s="116">
        <v>40.0</v>
      </c>
      <c r="L25" s="116">
        <v>120.0</v>
      </c>
      <c r="M25" s="116">
        <v>115.0</v>
      </c>
      <c r="N25" s="55"/>
      <c r="O25" s="55"/>
      <c r="P25" s="55"/>
      <c r="R25" s="55"/>
      <c r="S25" s="55"/>
      <c r="T25" s="55"/>
      <c r="V25" s="55"/>
      <c r="W25" s="55"/>
      <c r="X25" s="55"/>
      <c r="Z25" s="55"/>
      <c r="AA25" s="55"/>
      <c r="AB25" s="55"/>
      <c r="AD25" s="55"/>
      <c r="AE25" s="55"/>
      <c r="AF25" s="55"/>
      <c r="AH25" s="55"/>
      <c r="AI25" s="55"/>
      <c r="AJ25" s="55"/>
    </row>
    <row r="26" ht="22.5" customHeight="1">
      <c r="A26" s="12">
        <v>45741.0</v>
      </c>
      <c r="B26" s="114">
        <v>48.5</v>
      </c>
      <c r="C26" s="119">
        <v>43.0</v>
      </c>
      <c r="D26" s="116">
        <v>119.0</v>
      </c>
      <c r="E26" s="116">
        <v>32.5</v>
      </c>
      <c r="F26" s="117">
        <v>57.0</v>
      </c>
      <c r="G26" s="116">
        <v>30.0</v>
      </c>
      <c r="H26" s="116">
        <v>117.0</v>
      </c>
      <c r="I26" s="116">
        <v>610.0</v>
      </c>
      <c r="J26" s="116">
        <v>620.0</v>
      </c>
      <c r="K26" s="116">
        <v>40.0</v>
      </c>
      <c r="L26" s="116">
        <v>120.0</v>
      </c>
      <c r="M26" s="116">
        <v>115.0</v>
      </c>
      <c r="N26" s="55"/>
      <c r="O26" s="55"/>
      <c r="P26" s="55"/>
      <c r="R26" s="55"/>
      <c r="S26" s="55"/>
      <c r="T26" s="55"/>
      <c r="V26" s="55"/>
      <c r="W26" s="55"/>
      <c r="X26" s="55"/>
      <c r="Z26" s="55"/>
      <c r="AA26" s="55"/>
      <c r="AB26" s="55"/>
      <c r="AD26" s="55"/>
      <c r="AE26" s="55"/>
      <c r="AF26" s="55"/>
      <c r="AH26" s="55"/>
      <c r="AI26" s="55"/>
      <c r="AJ26" s="55"/>
    </row>
    <row r="27" ht="22.5" customHeight="1">
      <c r="A27" s="12">
        <v>45742.0</v>
      </c>
      <c r="B27" s="114">
        <v>48.5</v>
      </c>
      <c r="C27" s="119">
        <v>43.0</v>
      </c>
      <c r="D27" s="116">
        <v>119.0</v>
      </c>
      <c r="E27" s="116">
        <v>33.0</v>
      </c>
      <c r="F27" s="117">
        <v>57.0</v>
      </c>
      <c r="G27" s="116">
        <v>30.0</v>
      </c>
      <c r="H27" s="116">
        <v>117.0</v>
      </c>
      <c r="I27" s="116">
        <v>610.0</v>
      </c>
      <c r="J27" s="116">
        <v>620.0</v>
      </c>
      <c r="K27" s="116">
        <v>40.0</v>
      </c>
      <c r="L27" s="116">
        <v>120.0</v>
      </c>
      <c r="M27" s="116">
        <v>115.0</v>
      </c>
      <c r="N27" s="55"/>
      <c r="O27" s="55"/>
      <c r="P27" s="55"/>
      <c r="R27" s="55"/>
      <c r="S27" s="55"/>
      <c r="T27" s="55"/>
      <c r="V27" s="55"/>
      <c r="W27" s="55"/>
      <c r="X27" s="55"/>
      <c r="Z27" s="55"/>
      <c r="AA27" s="55"/>
      <c r="AB27" s="55"/>
      <c r="AD27" s="55"/>
      <c r="AE27" s="55"/>
      <c r="AF27" s="55"/>
      <c r="AH27" s="55"/>
      <c r="AI27" s="55"/>
      <c r="AJ27" s="55"/>
    </row>
    <row r="28" ht="22.5" customHeight="1">
      <c r="A28" s="12">
        <v>45743.0</v>
      </c>
      <c r="B28" s="114">
        <v>48.5</v>
      </c>
      <c r="C28" s="119">
        <v>43.0</v>
      </c>
      <c r="D28" s="116">
        <v>119.0</v>
      </c>
      <c r="E28" s="116">
        <v>33.0</v>
      </c>
      <c r="F28" s="117">
        <v>57.0</v>
      </c>
      <c r="G28" s="116">
        <v>30.0</v>
      </c>
      <c r="H28" s="116">
        <v>115.5</v>
      </c>
      <c r="I28" s="116">
        <v>610.0</v>
      </c>
      <c r="J28" s="116">
        <v>620.0</v>
      </c>
      <c r="K28" s="116">
        <v>40.0</v>
      </c>
      <c r="L28" s="116">
        <v>120.0</v>
      </c>
      <c r="M28" s="116">
        <v>115.0</v>
      </c>
      <c r="N28" s="55"/>
      <c r="O28" s="55"/>
      <c r="P28" s="55"/>
      <c r="R28" s="55"/>
      <c r="S28" s="55"/>
      <c r="T28" s="55"/>
      <c r="V28" s="55"/>
      <c r="W28" s="55"/>
      <c r="X28" s="55"/>
      <c r="Z28" s="55"/>
      <c r="AA28" s="55"/>
      <c r="AB28" s="55"/>
      <c r="AD28" s="55"/>
      <c r="AE28" s="55"/>
      <c r="AF28" s="55"/>
      <c r="AH28" s="55"/>
      <c r="AI28" s="55"/>
      <c r="AJ28" s="55"/>
    </row>
    <row r="29" ht="22.5" customHeight="1">
      <c r="A29" s="12">
        <v>45744.0</v>
      </c>
      <c r="B29" s="114">
        <v>48.5</v>
      </c>
      <c r="C29" s="119">
        <v>43.0</v>
      </c>
      <c r="D29" s="116">
        <v>119.0</v>
      </c>
      <c r="E29" s="116">
        <v>33.0</v>
      </c>
      <c r="F29" s="117">
        <v>57.0</v>
      </c>
      <c r="G29" s="116">
        <v>30.0</v>
      </c>
      <c r="H29" s="116">
        <v>115.5</v>
      </c>
      <c r="I29" s="116">
        <v>610.0</v>
      </c>
      <c r="J29" s="116">
        <v>620.0</v>
      </c>
      <c r="K29" s="116">
        <v>40.0</v>
      </c>
      <c r="L29" s="116">
        <v>120.0</v>
      </c>
      <c r="M29" s="116">
        <v>115.0</v>
      </c>
      <c r="N29" s="55"/>
      <c r="O29" s="55"/>
      <c r="P29" s="55"/>
      <c r="R29" s="55"/>
      <c r="S29" s="55"/>
      <c r="T29" s="55"/>
      <c r="V29" s="55"/>
      <c r="W29" s="55"/>
      <c r="X29" s="55"/>
      <c r="Z29" s="55"/>
      <c r="AA29" s="55"/>
      <c r="AB29" s="55"/>
      <c r="AD29" s="55"/>
      <c r="AE29" s="55"/>
      <c r="AF29" s="55"/>
      <c r="AH29" s="55"/>
      <c r="AI29" s="55"/>
      <c r="AJ29" s="55"/>
    </row>
    <row r="30" ht="22.5" customHeight="1">
      <c r="A30" s="12">
        <v>45745.0</v>
      </c>
      <c r="B30" s="114">
        <v>48.5</v>
      </c>
      <c r="C30" s="119">
        <v>43.0</v>
      </c>
      <c r="D30" s="116">
        <v>119.0</v>
      </c>
      <c r="E30" s="116">
        <v>33.0</v>
      </c>
      <c r="F30" s="117">
        <v>57.0</v>
      </c>
      <c r="G30" s="116">
        <v>30.0</v>
      </c>
      <c r="H30" s="116">
        <v>115.5</v>
      </c>
      <c r="I30" s="116">
        <v>610.0</v>
      </c>
      <c r="J30" s="116">
        <v>620.0</v>
      </c>
      <c r="K30" s="116">
        <v>40.0</v>
      </c>
      <c r="L30" s="116">
        <v>120.0</v>
      </c>
      <c r="M30" s="116">
        <v>115.0</v>
      </c>
      <c r="N30" s="55"/>
      <c r="O30" s="55"/>
      <c r="P30" s="55"/>
      <c r="R30" s="55"/>
      <c r="S30" s="55"/>
      <c r="T30" s="55"/>
      <c r="V30" s="55"/>
      <c r="W30" s="55"/>
      <c r="X30" s="55"/>
      <c r="Z30" s="55"/>
      <c r="AA30" s="55"/>
      <c r="AB30" s="55"/>
      <c r="AD30" s="55"/>
      <c r="AE30" s="55"/>
      <c r="AF30" s="55"/>
      <c r="AH30" s="55"/>
      <c r="AI30" s="55"/>
      <c r="AJ30" s="55"/>
    </row>
    <row r="31" ht="22.5" customHeight="1">
      <c r="A31" s="12">
        <v>45746.0</v>
      </c>
      <c r="B31" s="114">
        <v>48.5</v>
      </c>
      <c r="C31" s="119">
        <v>43.0</v>
      </c>
      <c r="D31" s="116">
        <v>119.0</v>
      </c>
      <c r="E31" s="116">
        <v>33.0</v>
      </c>
      <c r="F31" s="117">
        <v>57.0</v>
      </c>
      <c r="G31" s="116">
        <v>30.0</v>
      </c>
      <c r="H31" s="116">
        <v>115.5</v>
      </c>
      <c r="I31" s="116">
        <v>610.0</v>
      </c>
      <c r="J31" s="116">
        <v>620.0</v>
      </c>
      <c r="K31" s="116">
        <v>40.0</v>
      </c>
      <c r="L31" s="116">
        <v>120.0</v>
      </c>
      <c r="M31" s="116">
        <v>115.0</v>
      </c>
      <c r="N31" s="55"/>
      <c r="O31" s="55"/>
      <c r="P31" s="55"/>
      <c r="R31" s="55"/>
      <c r="S31" s="55"/>
      <c r="T31" s="55"/>
      <c r="V31" s="55"/>
      <c r="W31" s="55"/>
      <c r="X31" s="55"/>
      <c r="Z31" s="55"/>
      <c r="AA31" s="55"/>
      <c r="AB31" s="55"/>
      <c r="AD31" s="55"/>
      <c r="AE31" s="55"/>
      <c r="AF31" s="55"/>
      <c r="AH31" s="55"/>
      <c r="AI31" s="55"/>
      <c r="AJ31" s="55"/>
    </row>
    <row r="32" ht="22.5" customHeight="1">
      <c r="A32" s="12">
        <v>45747.0</v>
      </c>
      <c r="B32" s="114">
        <v>48.5</v>
      </c>
      <c r="C32" s="119">
        <v>43.0</v>
      </c>
      <c r="D32" s="116">
        <v>119.0</v>
      </c>
      <c r="E32" s="116">
        <v>33.0</v>
      </c>
      <c r="F32" s="117">
        <v>57.0</v>
      </c>
      <c r="G32" s="116">
        <v>30.0</v>
      </c>
      <c r="H32" s="116">
        <v>115.5</v>
      </c>
      <c r="I32" s="116">
        <v>610.0</v>
      </c>
      <c r="J32" s="116">
        <v>620.0</v>
      </c>
      <c r="K32" s="116">
        <v>40.0</v>
      </c>
      <c r="L32" s="116">
        <v>120.0</v>
      </c>
      <c r="M32" s="116">
        <v>115.0</v>
      </c>
      <c r="N32" s="55"/>
      <c r="O32" s="55"/>
      <c r="P32" s="55"/>
      <c r="R32" s="55"/>
      <c r="S32" s="55"/>
      <c r="T32" s="55"/>
      <c r="V32" s="55"/>
      <c r="W32" s="55"/>
      <c r="X32" s="55"/>
      <c r="Z32" s="55"/>
      <c r="AA32" s="55"/>
      <c r="AB32" s="55"/>
      <c r="AD32" s="55"/>
      <c r="AE32" s="55"/>
      <c r="AF32" s="55"/>
      <c r="AH32" s="55"/>
      <c r="AI32" s="55"/>
      <c r="AJ32" s="55"/>
    </row>
    <row r="33" ht="22.5" customHeight="1">
      <c r="A33" s="12">
        <v>45748.0</v>
      </c>
      <c r="B33" s="114">
        <v>48.5</v>
      </c>
      <c r="C33" s="119">
        <v>43.0</v>
      </c>
      <c r="D33" s="116">
        <v>119.0</v>
      </c>
      <c r="E33" s="116">
        <v>33.0</v>
      </c>
      <c r="F33" s="117">
        <v>57.0</v>
      </c>
      <c r="G33" s="116">
        <v>30.0</v>
      </c>
      <c r="H33" s="116">
        <v>115.5</v>
      </c>
      <c r="I33" s="116">
        <v>610.0</v>
      </c>
      <c r="J33" s="116">
        <v>620.0</v>
      </c>
      <c r="K33" s="116">
        <v>40.0</v>
      </c>
      <c r="L33" s="116">
        <v>120.0</v>
      </c>
      <c r="M33" s="116">
        <v>115.0</v>
      </c>
      <c r="N33" s="55"/>
      <c r="O33" s="55"/>
      <c r="P33" s="55"/>
      <c r="R33" s="55"/>
      <c r="S33" s="55"/>
      <c r="T33" s="55"/>
      <c r="V33" s="55"/>
      <c r="W33" s="55"/>
      <c r="X33" s="55"/>
      <c r="Z33" s="55"/>
      <c r="AA33" s="55"/>
      <c r="AB33" s="55"/>
      <c r="AD33" s="55"/>
      <c r="AE33" s="55"/>
      <c r="AF33" s="55"/>
      <c r="AH33" s="55"/>
      <c r="AI33" s="55"/>
      <c r="AJ33" s="55"/>
    </row>
    <row r="34" ht="22.5" customHeight="1">
      <c r="A34" s="12">
        <v>45749.0</v>
      </c>
      <c r="B34" s="114">
        <v>48.5</v>
      </c>
      <c r="C34" s="115">
        <v>42.0</v>
      </c>
      <c r="D34" s="116">
        <v>119.0</v>
      </c>
      <c r="E34" s="116">
        <v>33.0</v>
      </c>
      <c r="F34" s="117">
        <v>57.0</v>
      </c>
      <c r="G34" s="116">
        <v>30.0</v>
      </c>
      <c r="H34" s="116">
        <v>115.5</v>
      </c>
      <c r="I34" s="116">
        <v>610.0</v>
      </c>
      <c r="J34" s="116">
        <v>620.0</v>
      </c>
      <c r="K34" s="116">
        <v>40.0</v>
      </c>
      <c r="L34" s="116">
        <v>120.0</v>
      </c>
      <c r="M34" s="116">
        <v>115.0</v>
      </c>
      <c r="N34" s="55"/>
      <c r="O34" s="55"/>
      <c r="P34" s="55"/>
      <c r="R34" s="55"/>
      <c r="S34" s="55"/>
      <c r="T34" s="55"/>
      <c r="V34" s="55"/>
      <c r="W34" s="55"/>
      <c r="X34" s="55"/>
      <c r="Z34" s="55"/>
      <c r="AA34" s="55"/>
      <c r="AB34" s="55"/>
      <c r="AD34" s="55"/>
      <c r="AE34" s="55"/>
      <c r="AF34" s="55"/>
      <c r="AH34" s="55"/>
      <c r="AI34" s="55"/>
      <c r="AJ34" s="55"/>
    </row>
    <row r="35" ht="22.5" customHeight="1">
      <c r="A35" s="12">
        <v>45750.0</v>
      </c>
      <c r="B35" s="114">
        <v>48.5</v>
      </c>
      <c r="C35" s="118">
        <v>42.0</v>
      </c>
      <c r="D35" s="116">
        <v>119.0</v>
      </c>
      <c r="E35" s="116">
        <v>33.0</v>
      </c>
      <c r="F35" s="117">
        <v>57.0</v>
      </c>
      <c r="G35" s="116">
        <v>30.0</v>
      </c>
      <c r="H35" s="116">
        <v>115.5</v>
      </c>
      <c r="I35" s="116">
        <v>625.0</v>
      </c>
      <c r="J35" s="116">
        <v>620.0</v>
      </c>
      <c r="K35" s="116">
        <v>40.0</v>
      </c>
      <c r="L35" s="116">
        <v>120.0</v>
      </c>
      <c r="M35" s="116">
        <v>115.0</v>
      </c>
      <c r="N35" s="55"/>
      <c r="O35" s="55"/>
      <c r="P35" s="55"/>
      <c r="R35" s="55"/>
      <c r="S35" s="55"/>
      <c r="T35" s="55"/>
      <c r="V35" s="55"/>
      <c r="W35" s="55"/>
      <c r="X35" s="55"/>
      <c r="Z35" s="55"/>
      <c r="AA35" s="55"/>
      <c r="AB35" s="55"/>
      <c r="AD35" s="55"/>
      <c r="AE35" s="55"/>
      <c r="AF35" s="55"/>
      <c r="AH35" s="55"/>
      <c r="AI35" s="55"/>
      <c r="AJ35" s="55"/>
    </row>
    <row r="36" ht="22.5" customHeight="1">
      <c r="A36" s="12">
        <v>45751.0</v>
      </c>
      <c r="B36" s="114">
        <v>48.5</v>
      </c>
      <c r="C36" s="115">
        <v>42.0</v>
      </c>
      <c r="D36" s="116">
        <v>119.0</v>
      </c>
      <c r="E36" s="116">
        <v>33.0</v>
      </c>
      <c r="F36" s="117">
        <v>57.0</v>
      </c>
      <c r="G36" s="116">
        <v>30.0</v>
      </c>
      <c r="H36" s="116">
        <v>115.5</v>
      </c>
      <c r="I36" s="116">
        <v>625.0</v>
      </c>
      <c r="J36" s="116">
        <v>620.0</v>
      </c>
      <c r="K36" s="116">
        <v>40.0</v>
      </c>
      <c r="L36" s="116">
        <v>120.0</v>
      </c>
      <c r="M36" s="116">
        <v>115.0</v>
      </c>
      <c r="N36" s="55"/>
      <c r="O36" s="55"/>
      <c r="P36" s="55"/>
      <c r="R36" s="55"/>
      <c r="S36" s="55"/>
      <c r="T36" s="55"/>
      <c r="V36" s="55"/>
      <c r="W36" s="55"/>
      <c r="X36" s="55"/>
      <c r="Z36" s="55"/>
      <c r="AA36" s="55"/>
      <c r="AB36" s="55"/>
      <c r="AD36" s="55"/>
      <c r="AE36" s="55"/>
      <c r="AF36" s="55"/>
      <c r="AH36" s="55"/>
      <c r="AI36" s="55"/>
      <c r="AJ36" s="55"/>
    </row>
    <row r="37" ht="22.5" customHeight="1">
      <c r="A37" s="12">
        <v>45752.0</v>
      </c>
      <c r="B37" s="114">
        <v>48.5</v>
      </c>
      <c r="C37" s="118">
        <v>42.0</v>
      </c>
      <c r="D37" s="116">
        <v>119.0</v>
      </c>
      <c r="E37" s="116">
        <v>33.0</v>
      </c>
      <c r="F37" s="117">
        <v>57.0</v>
      </c>
      <c r="G37" s="116">
        <v>30.0</v>
      </c>
      <c r="H37" s="116">
        <v>115.5</v>
      </c>
      <c r="I37" s="116">
        <v>625.0</v>
      </c>
      <c r="J37" s="116">
        <v>620.0</v>
      </c>
      <c r="K37" s="116">
        <v>40.0</v>
      </c>
      <c r="L37" s="116">
        <v>120.0</v>
      </c>
      <c r="M37" s="116">
        <v>115.0</v>
      </c>
      <c r="N37" s="55"/>
      <c r="O37" s="55"/>
      <c r="P37" s="55"/>
      <c r="R37" s="55"/>
      <c r="S37" s="55"/>
      <c r="T37" s="55"/>
      <c r="V37" s="55"/>
      <c r="W37" s="55"/>
      <c r="X37" s="55"/>
      <c r="Z37" s="55"/>
      <c r="AA37" s="55"/>
      <c r="AB37" s="55"/>
      <c r="AD37" s="55"/>
      <c r="AE37" s="55"/>
      <c r="AF37" s="55"/>
      <c r="AH37" s="55"/>
      <c r="AI37" s="55"/>
      <c r="AJ37" s="55"/>
    </row>
    <row r="38" ht="22.5" customHeight="1">
      <c r="A38" s="12">
        <v>45753.0</v>
      </c>
      <c r="B38" s="114">
        <v>48.5</v>
      </c>
      <c r="C38" s="115">
        <v>42.0</v>
      </c>
      <c r="D38" s="116">
        <v>113.0</v>
      </c>
      <c r="E38" s="116">
        <v>33.0</v>
      </c>
      <c r="F38" s="117">
        <v>57.0</v>
      </c>
      <c r="G38" s="116">
        <v>30.0</v>
      </c>
      <c r="H38" s="116">
        <v>115.5</v>
      </c>
      <c r="I38" s="116">
        <v>625.0</v>
      </c>
      <c r="J38" s="116">
        <v>620.0</v>
      </c>
      <c r="K38" s="116">
        <v>40.0</v>
      </c>
      <c r="L38" s="116">
        <v>120.0</v>
      </c>
      <c r="M38" s="116">
        <v>115.0</v>
      </c>
      <c r="N38" s="55"/>
      <c r="O38" s="55"/>
      <c r="P38" s="55"/>
      <c r="R38" s="55"/>
      <c r="S38" s="55"/>
      <c r="T38" s="55"/>
      <c r="V38" s="55"/>
      <c r="W38" s="55"/>
      <c r="X38" s="55"/>
      <c r="Z38" s="55"/>
      <c r="AA38" s="55"/>
      <c r="AB38" s="55"/>
      <c r="AD38" s="55"/>
      <c r="AE38" s="55"/>
      <c r="AF38" s="55"/>
      <c r="AH38" s="55"/>
      <c r="AI38" s="55"/>
      <c r="AJ38" s="55"/>
    </row>
    <row r="39" ht="22.5" customHeight="1">
      <c r="A39" s="12">
        <v>45754.0</v>
      </c>
      <c r="B39" s="114">
        <v>48.5</v>
      </c>
      <c r="C39" s="118">
        <v>42.0</v>
      </c>
      <c r="D39" s="116">
        <v>113.0</v>
      </c>
      <c r="E39" s="116">
        <v>33.0</v>
      </c>
      <c r="F39" s="117">
        <v>57.0</v>
      </c>
      <c r="G39" s="116">
        <v>30.0</v>
      </c>
      <c r="H39" s="116">
        <v>115.5</v>
      </c>
      <c r="I39" s="116">
        <v>625.0</v>
      </c>
      <c r="J39" s="116">
        <v>620.0</v>
      </c>
      <c r="K39" s="116">
        <v>40.0</v>
      </c>
      <c r="L39" s="116">
        <v>120.0</v>
      </c>
      <c r="M39" s="116">
        <v>115.0</v>
      </c>
      <c r="N39" s="55"/>
      <c r="O39" s="55"/>
      <c r="P39" s="55"/>
      <c r="R39" s="55"/>
      <c r="S39" s="55"/>
      <c r="T39" s="55"/>
      <c r="V39" s="55"/>
      <c r="W39" s="55"/>
      <c r="X39" s="55"/>
      <c r="Z39" s="55"/>
      <c r="AA39" s="55"/>
      <c r="AB39" s="55"/>
      <c r="AD39" s="55"/>
      <c r="AE39" s="55"/>
      <c r="AF39" s="55"/>
      <c r="AH39" s="55"/>
      <c r="AI39" s="55"/>
      <c r="AJ39" s="55"/>
    </row>
    <row r="40" ht="22.5" customHeight="1">
      <c r="A40" s="12">
        <v>45755.0</v>
      </c>
      <c r="B40" s="114">
        <v>48.5</v>
      </c>
      <c r="C40" s="115">
        <v>42.0</v>
      </c>
      <c r="D40" s="116">
        <v>113.0</v>
      </c>
      <c r="E40" s="116">
        <v>33.0</v>
      </c>
      <c r="F40" s="117">
        <v>57.0</v>
      </c>
      <c r="G40" s="116">
        <v>30.0</v>
      </c>
      <c r="H40" s="116">
        <v>112.0</v>
      </c>
      <c r="I40" s="116">
        <v>625.0</v>
      </c>
      <c r="J40" s="116">
        <v>620.0</v>
      </c>
      <c r="K40" s="116">
        <v>40.0</v>
      </c>
      <c r="L40" s="116">
        <v>120.0</v>
      </c>
      <c r="M40" s="116">
        <v>115.0</v>
      </c>
      <c r="N40" s="55"/>
      <c r="O40" s="55"/>
      <c r="P40" s="55"/>
      <c r="R40" s="55"/>
      <c r="S40" s="55"/>
      <c r="T40" s="55"/>
      <c r="V40" s="55"/>
      <c r="W40" s="55"/>
      <c r="X40" s="55"/>
      <c r="Z40" s="55"/>
      <c r="AA40" s="55"/>
      <c r="AB40" s="55"/>
      <c r="AD40" s="55"/>
      <c r="AE40" s="55"/>
      <c r="AF40" s="55"/>
      <c r="AH40" s="55"/>
      <c r="AI40" s="55"/>
      <c r="AJ40" s="55"/>
    </row>
    <row r="41" ht="22.5" customHeight="1">
      <c r="A41" s="12">
        <v>45756.0</v>
      </c>
      <c r="B41" s="114">
        <v>48.5</v>
      </c>
      <c r="C41" s="118">
        <v>42.0</v>
      </c>
      <c r="D41" s="116">
        <v>113.0</v>
      </c>
      <c r="E41" s="116">
        <v>33.0</v>
      </c>
      <c r="F41" s="117">
        <v>57.0</v>
      </c>
      <c r="G41" s="116">
        <v>30.0</v>
      </c>
      <c r="H41" s="116">
        <v>112.0</v>
      </c>
      <c r="I41" s="116">
        <v>625.0</v>
      </c>
      <c r="J41" s="116">
        <v>620.0</v>
      </c>
      <c r="K41" s="116">
        <v>40.0</v>
      </c>
      <c r="L41" s="116">
        <v>120.0</v>
      </c>
      <c r="M41" s="116">
        <v>115.0</v>
      </c>
      <c r="N41" s="55"/>
      <c r="O41" s="55"/>
      <c r="P41" s="55"/>
      <c r="R41" s="55"/>
      <c r="S41" s="55"/>
      <c r="T41" s="55"/>
      <c r="V41" s="55"/>
      <c r="W41" s="55"/>
      <c r="X41" s="55"/>
      <c r="Z41" s="55"/>
      <c r="AA41" s="55"/>
      <c r="AB41" s="55"/>
      <c r="AD41" s="55"/>
      <c r="AE41" s="55"/>
      <c r="AF41" s="55"/>
      <c r="AH41" s="55"/>
      <c r="AI41" s="55"/>
      <c r="AJ41" s="55"/>
    </row>
    <row r="42" ht="22.5" customHeight="1">
      <c r="A42" s="12">
        <v>45757.0</v>
      </c>
      <c r="B42" s="114">
        <v>48.5</v>
      </c>
      <c r="C42" s="115">
        <v>42.0</v>
      </c>
      <c r="D42" s="116">
        <v>113.0</v>
      </c>
      <c r="E42" s="116">
        <v>34.0</v>
      </c>
      <c r="F42" s="117">
        <v>57.0</v>
      </c>
      <c r="G42" s="116">
        <v>30.0</v>
      </c>
      <c r="H42" s="116">
        <v>112.0</v>
      </c>
      <c r="I42" s="116">
        <v>625.0</v>
      </c>
      <c r="J42" s="116">
        <v>620.0</v>
      </c>
      <c r="K42" s="116">
        <v>40.0</v>
      </c>
      <c r="L42" s="116">
        <v>120.0</v>
      </c>
      <c r="M42" s="116">
        <v>115.0</v>
      </c>
      <c r="N42" s="55"/>
      <c r="O42" s="55"/>
      <c r="P42" s="55"/>
      <c r="R42" s="55"/>
      <c r="S42" s="55"/>
      <c r="T42" s="55"/>
      <c r="V42" s="55"/>
      <c r="W42" s="55"/>
      <c r="X42" s="55"/>
      <c r="Z42" s="55"/>
      <c r="AA42" s="55"/>
      <c r="AB42" s="55"/>
      <c r="AD42" s="55"/>
      <c r="AE42" s="55"/>
      <c r="AF42" s="55"/>
      <c r="AH42" s="55"/>
      <c r="AI42" s="55"/>
      <c r="AJ42" s="55"/>
    </row>
    <row r="43" ht="22.5" customHeight="1">
      <c r="A43" s="12">
        <v>45758.0</v>
      </c>
      <c r="B43" s="114">
        <v>48.5</v>
      </c>
      <c r="C43" s="118">
        <v>42.0</v>
      </c>
      <c r="D43" s="116">
        <v>113.0</v>
      </c>
      <c r="E43" s="116">
        <v>34.0</v>
      </c>
      <c r="F43" s="117">
        <v>57.0</v>
      </c>
      <c r="G43" s="116">
        <v>30.0</v>
      </c>
      <c r="H43" s="116">
        <v>112.0</v>
      </c>
      <c r="I43" s="116">
        <v>625.0</v>
      </c>
      <c r="J43" s="116">
        <v>620.0</v>
      </c>
      <c r="K43" s="116">
        <v>40.0</v>
      </c>
      <c r="L43" s="116">
        <v>120.0</v>
      </c>
      <c r="M43" s="116">
        <v>115.0</v>
      </c>
      <c r="N43" s="55"/>
      <c r="O43" s="55"/>
      <c r="P43" s="55"/>
      <c r="R43" s="55"/>
      <c r="S43" s="55"/>
      <c r="T43" s="55"/>
      <c r="V43" s="55"/>
      <c r="W43" s="55"/>
      <c r="X43" s="55"/>
      <c r="Z43" s="55"/>
      <c r="AA43" s="55"/>
      <c r="AB43" s="55"/>
      <c r="AD43" s="55"/>
      <c r="AE43" s="55"/>
      <c r="AF43" s="55"/>
      <c r="AH43" s="55"/>
      <c r="AI43" s="55"/>
      <c r="AJ43" s="55"/>
    </row>
    <row r="44" ht="22.5" customHeight="1">
      <c r="A44" s="12">
        <v>45759.0</v>
      </c>
      <c r="B44" s="114">
        <v>48.5</v>
      </c>
      <c r="C44" s="115">
        <v>42.0</v>
      </c>
      <c r="D44" s="116">
        <v>113.0</v>
      </c>
      <c r="E44" s="116">
        <v>34.0</v>
      </c>
      <c r="F44" s="117">
        <v>57.0</v>
      </c>
      <c r="G44" s="116">
        <v>30.0</v>
      </c>
      <c r="H44" s="116">
        <v>112.0</v>
      </c>
      <c r="I44" s="116">
        <v>625.0</v>
      </c>
      <c r="J44" s="116">
        <v>620.0</v>
      </c>
      <c r="K44" s="116">
        <v>40.0</v>
      </c>
      <c r="L44" s="116">
        <v>120.0</v>
      </c>
      <c r="M44" s="116">
        <v>115.0</v>
      </c>
      <c r="N44" s="55"/>
      <c r="O44" s="55"/>
      <c r="P44" s="55"/>
      <c r="R44" s="55"/>
      <c r="S44" s="55"/>
      <c r="T44" s="55"/>
      <c r="V44" s="55"/>
      <c r="W44" s="55"/>
      <c r="X44" s="55"/>
      <c r="Z44" s="55"/>
      <c r="AA44" s="55"/>
      <c r="AB44" s="55"/>
      <c r="AD44" s="55"/>
      <c r="AE44" s="55"/>
      <c r="AF44" s="55"/>
      <c r="AH44" s="55"/>
      <c r="AI44" s="55"/>
      <c r="AJ44" s="55"/>
    </row>
    <row r="45" ht="22.5" customHeight="1">
      <c r="A45" s="12">
        <v>45760.0</v>
      </c>
      <c r="B45" s="114">
        <v>48.5</v>
      </c>
      <c r="C45" s="118">
        <v>42.0</v>
      </c>
      <c r="D45" s="116">
        <v>113.0</v>
      </c>
      <c r="E45" s="116">
        <v>34.0</v>
      </c>
      <c r="F45" s="117">
        <v>57.0</v>
      </c>
      <c r="G45" s="116">
        <v>30.0</v>
      </c>
      <c r="H45" s="116">
        <v>112.0</v>
      </c>
      <c r="I45" s="116">
        <v>625.0</v>
      </c>
      <c r="J45" s="116">
        <v>620.0</v>
      </c>
      <c r="K45" s="116">
        <v>40.0</v>
      </c>
      <c r="L45" s="116">
        <v>120.0</v>
      </c>
      <c r="M45" s="116">
        <v>115.0</v>
      </c>
      <c r="N45" s="55"/>
      <c r="O45" s="55"/>
      <c r="P45" s="55"/>
      <c r="R45" s="55"/>
      <c r="S45" s="55"/>
      <c r="T45" s="55"/>
      <c r="V45" s="55"/>
      <c r="W45" s="55"/>
      <c r="X45" s="55"/>
      <c r="Z45" s="55"/>
      <c r="AA45" s="55"/>
      <c r="AB45" s="55"/>
      <c r="AD45" s="55"/>
      <c r="AE45" s="55"/>
      <c r="AF45" s="55"/>
      <c r="AH45" s="55"/>
      <c r="AI45" s="55"/>
      <c r="AJ45" s="55"/>
    </row>
    <row r="46" ht="22.5" customHeight="1">
      <c r="A46" s="12">
        <v>45761.0</v>
      </c>
      <c r="B46" s="114">
        <v>48.5</v>
      </c>
      <c r="C46" s="115">
        <v>42.0</v>
      </c>
      <c r="D46" s="116">
        <v>113.0</v>
      </c>
      <c r="E46" s="116">
        <v>34.0</v>
      </c>
      <c r="F46" s="117">
        <v>57.0</v>
      </c>
      <c r="G46" s="116">
        <v>30.0</v>
      </c>
      <c r="H46" s="116">
        <v>112.0</v>
      </c>
      <c r="I46" s="116">
        <v>625.0</v>
      </c>
      <c r="J46" s="116">
        <v>620.0</v>
      </c>
      <c r="K46" s="116">
        <v>40.0</v>
      </c>
      <c r="L46" s="116">
        <v>120.0</v>
      </c>
      <c r="M46" s="116">
        <v>115.0</v>
      </c>
      <c r="N46" s="55"/>
      <c r="O46" s="55"/>
      <c r="P46" s="55"/>
      <c r="R46" s="55"/>
      <c r="S46" s="55"/>
      <c r="T46" s="55"/>
      <c r="V46" s="55"/>
      <c r="W46" s="55"/>
      <c r="X46" s="55"/>
      <c r="Z46" s="55"/>
      <c r="AA46" s="55"/>
      <c r="AB46" s="55"/>
      <c r="AD46" s="55"/>
      <c r="AE46" s="55"/>
      <c r="AF46" s="55"/>
      <c r="AH46" s="55"/>
      <c r="AI46" s="55"/>
      <c r="AJ46" s="55"/>
    </row>
    <row r="47" ht="22.5" customHeight="1">
      <c r="A47" s="12">
        <v>45762.0</v>
      </c>
      <c r="B47" s="114">
        <v>48.5</v>
      </c>
      <c r="C47" s="118">
        <v>42.0</v>
      </c>
      <c r="D47" s="116">
        <v>113.0</v>
      </c>
      <c r="E47" s="116">
        <v>34.0</v>
      </c>
      <c r="F47" s="117">
        <v>57.0</v>
      </c>
      <c r="G47" s="116">
        <v>30.0</v>
      </c>
      <c r="H47" s="116">
        <v>112.0</v>
      </c>
      <c r="I47" s="116">
        <v>625.0</v>
      </c>
      <c r="J47" s="116">
        <v>620.0</v>
      </c>
      <c r="K47" s="116">
        <v>40.0</v>
      </c>
      <c r="L47" s="116">
        <v>120.0</v>
      </c>
      <c r="M47" s="116">
        <v>115.0</v>
      </c>
      <c r="N47" s="55"/>
      <c r="O47" s="55"/>
      <c r="P47" s="55"/>
      <c r="R47" s="55"/>
      <c r="S47" s="55"/>
      <c r="T47" s="55"/>
      <c r="V47" s="55"/>
      <c r="W47" s="55"/>
      <c r="X47" s="55"/>
      <c r="Z47" s="55"/>
      <c r="AA47" s="55"/>
      <c r="AB47" s="55"/>
      <c r="AD47" s="55"/>
      <c r="AE47" s="55"/>
      <c r="AF47" s="55"/>
      <c r="AH47" s="55"/>
      <c r="AI47" s="55"/>
      <c r="AJ47" s="55"/>
    </row>
    <row r="48" ht="22.5" customHeight="1">
      <c r="A48" s="12">
        <v>45763.0</v>
      </c>
      <c r="B48" s="114">
        <v>48.5</v>
      </c>
      <c r="C48" s="115">
        <v>42.0</v>
      </c>
      <c r="D48" s="116">
        <v>113.0</v>
      </c>
      <c r="E48" s="116">
        <v>34.0</v>
      </c>
      <c r="F48" s="117">
        <v>57.0</v>
      </c>
      <c r="G48" s="116">
        <v>30.0</v>
      </c>
      <c r="H48" s="116">
        <v>112.0</v>
      </c>
      <c r="I48" s="116">
        <v>625.0</v>
      </c>
      <c r="J48" s="116">
        <v>620.0</v>
      </c>
      <c r="K48" s="116">
        <v>40.0</v>
      </c>
      <c r="L48" s="116">
        <v>120.0</v>
      </c>
      <c r="M48" s="116">
        <v>115.0</v>
      </c>
      <c r="N48" s="55"/>
      <c r="O48" s="55"/>
      <c r="P48" s="55"/>
      <c r="R48" s="55"/>
      <c r="S48" s="55"/>
      <c r="T48" s="55"/>
      <c r="V48" s="55"/>
      <c r="W48" s="55"/>
      <c r="X48" s="55"/>
      <c r="Z48" s="55"/>
      <c r="AA48" s="55"/>
      <c r="AB48" s="55"/>
      <c r="AD48" s="55"/>
      <c r="AE48" s="55"/>
      <c r="AF48" s="55"/>
      <c r="AH48" s="55"/>
      <c r="AI48" s="55"/>
      <c r="AJ48" s="55"/>
    </row>
    <row r="49" ht="22.5" customHeight="1">
      <c r="A49" s="12">
        <v>45764.0</v>
      </c>
      <c r="B49" s="114">
        <v>48.5</v>
      </c>
      <c r="C49" s="118">
        <v>42.0</v>
      </c>
      <c r="D49" s="116">
        <v>113.0</v>
      </c>
      <c r="E49" s="116">
        <v>34.0</v>
      </c>
      <c r="F49" s="117">
        <v>57.0</v>
      </c>
      <c r="G49" s="116">
        <v>30.0</v>
      </c>
      <c r="H49" s="116">
        <v>112.0</v>
      </c>
      <c r="I49" s="116">
        <v>625.0</v>
      </c>
      <c r="J49" s="116">
        <v>620.0</v>
      </c>
      <c r="K49" s="116">
        <v>40.0</v>
      </c>
      <c r="L49" s="116">
        <v>120.0</v>
      </c>
      <c r="M49" s="116">
        <v>115.0</v>
      </c>
      <c r="N49" s="55"/>
      <c r="O49" s="55"/>
      <c r="P49" s="55"/>
      <c r="R49" s="55"/>
      <c r="S49" s="55"/>
      <c r="T49" s="55"/>
      <c r="V49" s="55"/>
      <c r="W49" s="55"/>
      <c r="X49" s="55"/>
      <c r="Z49" s="55"/>
      <c r="AA49" s="55"/>
      <c r="AB49" s="55"/>
      <c r="AD49" s="55"/>
      <c r="AE49" s="55"/>
      <c r="AF49" s="55"/>
      <c r="AH49" s="55"/>
      <c r="AI49" s="55"/>
      <c r="AJ49" s="55"/>
    </row>
    <row r="50" ht="22.5" customHeight="1">
      <c r="A50" s="12">
        <v>45765.0</v>
      </c>
      <c r="B50" s="114">
        <v>48.5</v>
      </c>
      <c r="C50" s="115">
        <v>42.0</v>
      </c>
      <c r="D50" s="116">
        <v>113.0</v>
      </c>
      <c r="E50" s="116">
        <v>34.0</v>
      </c>
      <c r="F50" s="117">
        <v>57.0</v>
      </c>
      <c r="G50" s="116">
        <v>30.0</v>
      </c>
      <c r="H50" s="116">
        <v>112.0</v>
      </c>
      <c r="I50" s="116">
        <v>625.0</v>
      </c>
      <c r="J50" s="116">
        <v>620.0</v>
      </c>
      <c r="K50" s="116">
        <v>40.0</v>
      </c>
      <c r="L50" s="116">
        <v>120.0</v>
      </c>
      <c r="M50" s="116">
        <v>115.0</v>
      </c>
      <c r="N50" s="55"/>
      <c r="O50" s="55"/>
      <c r="P50" s="55"/>
      <c r="R50" s="55"/>
      <c r="S50" s="55"/>
      <c r="T50" s="55"/>
      <c r="V50" s="55"/>
      <c r="W50" s="55"/>
      <c r="X50" s="55"/>
      <c r="Z50" s="55"/>
      <c r="AA50" s="55"/>
      <c r="AB50" s="55"/>
      <c r="AD50" s="55"/>
      <c r="AE50" s="55"/>
      <c r="AF50" s="55"/>
      <c r="AH50" s="55"/>
      <c r="AI50" s="55"/>
      <c r="AJ50" s="55"/>
    </row>
    <row r="51" ht="22.5" customHeight="1">
      <c r="A51" s="12">
        <v>45766.0</v>
      </c>
      <c r="B51" s="114">
        <v>48.5</v>
      </c>
      <c r="C51" s="118">
        <v>42.0</v>
      </c>
      <c r="D51" s="116">
        <v>113.0</v>
      </c>
      <c r="E51" s="116">
        <v>34.0</v>
      </c>
      <c r="F51" s="117">
        <v>57.0</v>
      </c>
      <c r="G51" s="116">
        <v>30.0</v>
      </c>
      <c r="H51" s="116">
        <v>112.0</v>
      </c>
      <c r="I51" s="116">
        <v>625.0</v>
      </c>
      <c r="J51" s="116">
        <v>620.0</v>
      </c>
      <c r="K51" s="116">
        <v>40.0</v>
      </c>
      <c r="L51" s="116">
        <v>120.0</v>
      </c>
      <c r="M51" s="116">
        <v>115.0</v>
      </c>
      <c r="N51" s="55"/>
      <c r="O51" s="55"/>
      <c r="P51" s="55"/>
      <c r="R51" s="55"/>
      <c r="S51" s="55"/>
      <c r="T51" s="55"/>
      <c r="V51" s="55"/>
      <c r="W51" s="55"/>
      <c r="X51" s="55"/>
      <c r="Z51" s="55"/>
      <c r="AA51" s="55"/>
      <c r="AB51" s="55"/>
      <c r="AD51" s="55"/>
      <c r="AE51" s="55"/>
      <c r="AF51" s="55"/>
      <c r="AH51" s="55"/>
      <c r="AI51" s="55"/>
      <c r="AJ51" s="55"/>
    </row>
    <row r="52" ht="22.5" customHeight="1">
      <c r="A52" s="12">
        <v>45767.0</v>
      </c>
      <c r="B52" s="114">
        <v>48.5</v>
      </c>
      <c r="C52" s="115">
        <v>42.0</v>
      </c>
      <c r="D52" s="116">
        <v>113.0</v>
      </c>
      <c r="E52" s="116">
        <v>34.0</v>
      </c>
      <c r="F52" s="117">
        <v>57.0</v>
      </c>
      <c r="G52" s="116">
        <v>30.0</v>
      </c>
      <c r="H52" s="116">
        <v>112.0</v>
      </c>
      <c r="I52" s="116">
        <v>625.0</v>
      </c>
      <c r="J52" s="116">
        <v>620.0</v>
      </c>
      <c r="K52" s="116">
        <v>40.0</v>
      </c>
      <c r="L52" s="116">
        <v>120.0</v>
      </c>
      <c r="M52" s="116">
        <v>115.0</v>
      </c>
      <c r="N52" s="55"/>
      <c r="O52" s="55"/>
      <c r="P52" s="55"/>
      <c r="R52" s="55"/>
      <c r="S52" s="55"/>
      <c r="T52" s="55"/>
      <c r="V52" s="55"/>
      <c r="W52" s="55"/>
      <c r="X52" s="55"/>
      <c r="Z52" s="55"/>
      <c r="AA52" s="55"/>
      <c r="AB52" s="55"/>
      <c r="AD52" s="55"/>
      <c r="AE52" s="55"/>
      <c r="AF52" s="55"/>
      <c r="AH52" s="55"/>
      <c r="AI52" s="55"/>
      <c r="AJ52" s="55"/>
    </row>
    <row r="53" ht="22.5" customHeight="1">
      <c r="A53" s="12">
        <v>45768.0</v>
      </c>
      <c r="B53" s="114">
        <v>48.5</v>
      </c>
      <c r="C53" s="118">
        <v>42.0</v>
      </c>
      <c r="D53" s="116">
        <v>113.0</v>
      </c>
      <c r="E53" s="116">
        <v>34.0</v>
      </c>
      <c r="F53" s="117">
        <v>57.0</v>
      </c>
      <c r="G53" s="116">
        <v>30.0</v>
      </c>
      <c r="H53" s="116">
        <v>112.0</v>
      </c>
      <c r="I53" s="116">
        <v>625.0</v>
      </c>
      <c r="J53" s="116">
        <v>620.0</v>
      </c>
      <c r="K53" s="116">
        <v>40.0</v>
      </c>
      <c r="L53" s="116">
        <v>120.0</v>
      </c>
      <c r="M53" s="116">
        <v>115.0</v>
      </c>
      <c r="N53" s="55"/>
      <c r="O53" s="55"/>
      <c r="P53" s="55"/>
      <c r="R53" s="55"/>
      <c r="S53" s="55"/>
      <c r="T53" s="55"/>
      <c r="V53" s="55"/>
      <c r="W53" s="55"/>
      <c r="X53" s="55"/>
      <c r="Z53" s="55"/>
      <c r="AA53" s="55"/>
      <c r="AB53" s="55"/>
      <c r="AD53" s="55"/>
      <c r="AE53" s="55"/>
      <c r="AF53" s="55"/>
      <c r="AH53" s="55"/>
      <c r="AI53" s="55"/>
      <c r="AJ53" s="55"/>
    </row>
    <row r="54" ht="22.5" customHeight="1">
      <c r="A54" s="12">
        <v>45769.0</v>
      </c>
      <c r="B54" s="114">
        <v>48.5</v>
      </c>
      <c r="C54" s="115">
        <v>42.0</v>
      </c>
      <c r="D54" s="116">
        <v>113.0</v>
      </c>
      <c r="E54" s="116">
        <v>34.0</v>
      </c>
      <c r="F54" s="117">
        <v>57.0</v>
      </c>
      <c r="G54" s="116">
        <v>30.0</v>
      </c>
      <c r="H54" s="116">
        <v>112.0</v>
      </c>
      <c r="I54" s="116">
        <v>625.0</v>
      </c>
      <c r="J54" s="116">
        <v>620.0</v>
      </c>
      <c r="K54" s="116">
        <v>40.0</v>
      </c>
      <c r="L54" s="116">
        <v>120.0</v>
      </c>
      <c r="M54" s="116">
        <v>115.0</v>
      </c>
      <c r="N54" s="55"/>
      <c r="O54" s="55"/>
      <c r="P54" s="55"/>
      <c r="R54" s="55"/>
      <c r="S54" s="55"/>
      <c r="T54" s="55"/>
      <c r="V54" s="55"/>
      <c r="W54" s="55"/>
      <c r="X54" s="55"/>
      <c r="Z54" s="55"/>
      <c r="AA54" s="55"/>
      <c r="AB54" s="55"/>
      <c r="AD54" s="55"/>
      <c r="AE54" s="55"/>
      <c r="AF54" s="55"/>
      <c r="AH54" s="55"/>
      <c r="AI54" s="55"/>
      <c r="AJ54" s="55"/>
    </row>
    <row r="55" ht="22.5" customHeight="1">
      <c r="A55" s="12">
        <v>45770.0</v>
      </c>
      <c r="B55" s="114">
        <v>48.5</v>
      </c>
      <c r="C55" s="118">
        <v>42.0</v>
      </c>
      <c r="D55" s="116">
        <v>113.0</v>
      </c>
      <c r="E55" s="116">
        <v>34.0</v>
      </c>
      <c r="F55" s="117">
        <v>57.0</v>
      </c>
      <c r="G55" s="116">
        <v>30.0</v>
      </c>
      <c r="H55" s="116">
        <v>112.0</v>
      </c>
      <c r="I55" s="116">
        <v>625.0</v>
      </c>
      <c r="J55" s="116">
        <v>620.0</v>
      </c>
      <c r="K55" s="116">
        <v>40.0</v>
      </c>
      <c r="L55" s="116">
        <v>120.0</v>
      </c>
      <c r="M55" s="116">
        <v>115.0</v>
      </c>
      <c r="N55" s="55"/>
      <c r="O55" s="55"/>
      <c r="P55" s="55"/>
      <c r="R55" s="55"/>
      <c r="S55" s="55"/>
      <c r="T55" s="55"/>
      <c r="V55" s="55"/>
      <c r="W55" s="55"/>
      <c r="X55" s="55"/>
      <c r="Z55" s="55"/>
      <c r="AA55" s="55"/>
      <c r="AB55" s="55"/>
      <c r="AD55" s="55"/>
      <c r="AE55" s="55"/>
      <c r="AF55" s="55"/>
      <c r="AH55" s="55"/>
      <c r="AI55" s="55"/>
      <c r="AJ55" s="55"/>
    </row>
    <row r="56" ht="22.5" customHeight="1">
      <c r="A56" s="12">
        <v>45771.0</v>
      </c>
      <c r="B56" s="114">
        <v>48.5</v>
      </c>
      <c r="C56" s="115">
        <v>42.0</v>
      </c>
      <c r="D56" s="116">
        <v>113.0</v>
      </c>
      <c r="E56" s="116">
        <v>34.0</v>
      </c>
      <c r="F56" s="117">
        <v>57.0</v>
      </c>
      <c r="G56" s="116">
        <v>30.0</v>
      </c>
      <c r="H56" s="116">
        <v>112.0</v>
      </c>
      <c r="I56" s="116">
        <v>625.0</v>
      </c>
      <c r="J56" s="116">
        <v>620.0</v>
      </c>
      <c r="K56" s="116">
        <v>40.0</v>
      </c>
      <c r="L56" s="116">
        <v>120.0</v>
      </c>
      <c r="M56" s="116">
        <v>115.0</v>
      </c>
      <c r="N56" s="55"/>
      <c r="O56" s="55"/>
      <c r="P56" s="55"/>
      <c r="R56" s="55"/>
      <c r="S56" s="55"/>
      <c r="T56" s="55"/>
      <c r="V56" s="55"/>
      <c r="W56" s="55"/>
      <c r="X56" s="55"/>
      <c r="Z56" s="55"/>
      <c r="AA56" s="55"/>
      <c r="AB56" s="55"/>
      <c r="AD56" s="55"/>
      <c r="AE56" s="55"/>
      <c r="AF56" s="55"/>
      <c r="AH56" s="55"/>
      <c r="AI56" s="55"/>
      <c r="AJ56" s="55"/>
    </row>
    <row r="57" ht="22.5" customHeight="1">
      <c r="A57" s="12">
        <v>45772.0</v>
      </c>
      <c r="B57" s="114">
        <v>48.5</v>
      </c>
      <c r="C57" s="118">
        <v>42.0</v>
      </c>
      <c r="D57" s="116">
        <v>113.0</v>
      </c>
      <c r="E57" s="116">
        <v>34.0</v>
      </c>
      <c r="F57" s="117">
        <v>57.0</v>
      </c>
      <c r="G57" s="116">
        <v>30.0</v>
      </c>
      <c r="H57" s="116">
        <v>112.0</v>
      </c>
      <c r="I57" s="116">
        <v>625.0</v>
      </c>
      <c r="J57" s="116">
        <v>620.0</v>
      </c>
      <c r="K57" s="116">
        <v>40.0</v>
      </c>
      <c r="L57" s="116">
        <v>120.0</v>
      </c>
      <c r="M57" s="116">
        <v>115.0</v>
      </c>
      <c r="N57" s="55"/>
      <c r="O57" s="55"/>
      <c r="P57" s="55"/>
      <c r="R57" s="55"/>
      <c r="S57" s="55"/>
      <c r="T57" s="55"/>
      <c r="V57" s="55"/>
      <c r="W57" s="55"/>
      <c r="X57" s="55"/>
      <c r="Z57" s="55"/>
      <c r="AA57" s="55"/>
      <c r="AB57" s="55"/>
      <c r="AD57" s="55"/>
      <c r="AE57" s="55"/>
      <c r="AF57" s="55"/>
      <c r="AH57" s="55"/>
      <c r="AI57" s="55"/>
      <c r="AJ57" s="55"/>
    </row>
    <row r="58" ht="22.5" customHeight="1">
      <c r="A58" s="12">
        <v>45773.0</v>
      </c>
      <c r="B58" s="114">
        <v>48.5</v>
      </c>
      <c r="C58" s="115">
        <v>42.0</v>
      </c>
      <c r="D58" s="116">
        <v>113.0</v>
      </c>
      <c r="E58" s="116">
        <v>34.0</v>
      </c>
      <c r="F58" s="117">
        <v>57.0</v>
      </c>
      <c r="G58" s="116">
        <v>30.0</v>
      </c>
      <c r="H58" s="116">
        <v>112.0</v>
      </c>
      <c r="I58" s="116">
        <v>625.0</v>
      </c>
      <c r="J58" s="116">
        <v>620.0</v>
      </c>
      <c r="K58" s="116">
        <v>40.0</v>
      </c>
      <c r="L58" s="116">
        <v>120.0</v>
      </c>
      <c r="M58" s="116">
        <v>115.0</v>
      </c>
      <c r="N58" s="55"/>
      <c r="O58" s="55"/>
      <c r="P58" s="55"/>
      <c r="R58" s="55"/>
      <c r="S58" s="55"/>
      <c r="T58" s="55"/>
      <c r="V58" s="55"/>
      <c r="W58" s="55"/>
      <c r="X58" s="55"/>
      <c r="Z58" s="55"/>
      <c r="AA58" s="55"/>
      <c r="AB58" s="55"/>
      <c r="AD58" s="55"/>
      <c r="AE58" s="55"/>
      <c r="AF58" s="55"/>
      <c r="AH58" s="55"/>
      <c r="AI58" s="55"/>
      <c r="AJ58" s="55"/>
    </row>
    <row r="59" ht="22.5" customHeight="1">
      <c r="A59" s="12">
        <v>45774.0</v>
      </c>
      <c r="B59" s="114">
        <v>48.5</v>
      </c>
      <c r="C59" s="118">
        <v>42.0</v>
      </c>
      <c r="D59" s="116">
        <v>113.0</v>
      </c>
      <c r="E59" s="116">
        <v>34.0</v>
      </c>
      <c r="F59" s="117">
        <v>57.0</v>
      </c>
      <c r="G59" s="116">
        <v>30.0</v>
      </c>
      <c r="H59" s="116">
        <v>112.0</v>
      </c>
      <c r="I59" s="116">
        <v>625.0</v>
      </c>
      <c r="J59" s="116">
        <v>620.0</v>
      </c>
      <c r="K59" s="116">
        <v>40.0</v>
      </c>
      <c r="L59" s="116">
        <v>120.0</v>
      </c>
      <c r="M59" s="116">
        <v>115.0</v>
      </c>
      <c r="N59" s="55"/>
      <c r="O59" s="55"/>
      <c r="P59" s="55"/>
      <c r="R59" s="55"/>
      <c r="S59" s="55"/>
      <c r="T59" s="55"/>
      <c r="V59" s="55"/>
      <c r="W59" s="55"/>
      <c r="X59" s="55"/>
      <c r="Z59" s="55"/>
      <c r="AA59" s="55"/>
      <c r="AB59" s="55"/>
      <c r="AD59" s="55"/>
      <c r="AE59" s="55"/>
      <c r="AF59" s="55"/>
      <c r="AH59" s="55"/>
      <c r="AI59" s="55"/>
      <c r="AJ59" s="55"/>
    </row>
    <row r="60" ht="22.5" customHeight="1">
      <c r="A60" s="12">
        <v>45775.0</v>
      </c>
      <c r="B60" s="114">
        <v>48.5</v>
      </c>
      <c r="C60" s="115">
        <v>42.0</v>
      </c>
      <c r="D60" s="116">
        <v>113.0</v>
      </c>
      <c r="E60" s="116">
        <v>34.0</v>
      </c>
      <c r="F60" s="117">
        <v>57.0</v>
      </c>
      <c r="G60" s="116">
        <v>30.0</v>
      </c>
      <c r="H60" s="116">
        <v>112.0</v>
      </c>
      <c r="I60" s="116">
        <v>625.0</v>
      </c>
      <c r="J60" s="116">
        <v>620.0</v>
      </c>
      <c r="K60" s="116">
        <v>40.0</v>
      </c>
      <c r="L60" s="116">
        <v>120.0</v>
      </c>
      <c r="M60" s="116">
        <v>115.0</v>
      </c>
      <c r="N60" s="55"/>
      <c r="O60" s="55"/>
      <c r="P60" s="55"/>
      <c r="R60" s="55"/>
      <c r="S60" s="55"/>
      <c r="T60" s="55"/>
      <c r="V60" s="55"/>
      <c r="W60" s="55"/>
      <c r="X60" s="55"/>
      <c r="Z60" s="55"/>
      <c r="AA60" s="55"/>
      <c r="AB60" s="55"/>
      <c r="AD60" s="55"/>
      <c r="AE60" s="55"/>
      <c r="AF60" s="55"/>
      <c r="AH60" s="55"/>
      <c r="AI60" s="55"/>
      <c r="AJ60" s="55"/>
    </row>
    <row r="61" ht="22.5" customHeight="1">
      <c r="A61" s="12">
        <v>45776.0</v>
      </c>
      <c r="B61" s="114">
        <v>48.5</v>
      </c>
      <c r="C61" s="118">
        <v>42.0</v>
      </c>
      <c r="D61" s="116">
        <v>113.0</v>
      </c>
      <c r="E61" s="116">
        <v>34.0</v>
      </c>
      <c r="F61" s="117">
        <v>57.0</v>
      </c>
      <c r="G61" s="116">
        <v>30.0</v>
      </c>
      <c r="H61" s="116">
        <v>112.0</v>
      </c>
      <c r="I61" s="116">
        <v>625.0</v>
      </c>
      <c r="J61" s="116">
        <v>620.0</v>
      </c>
      <c r="K61" s="116">
        <v>40.0</v>
      </c>
      <c r="L61" s="116">
        <v>120.0</v>
      </c>
      <c r="M61" s="116">
        <v>115.0</v>
      </c>
      <c r="N61" s="55"/>
      <c r="O61" s="55"/>
      <c r="P61" s="55"/>
      <c r="R61" s="55"/>
      <c r="S61" s="55"/>
      <c r="T61" s="55"/>
      <c r="V61" s="55"/>
      <c r="W61" s="55"/>
      <c r="X61" s="55"/>
      <c r="Z61" s="55"/>
      <c r="AA61" s="55"/>
      <c r="AB61" s="55"/>
      <c r="AD61" s="55"/>
      <c r="AE61" s="55"/>
      <c r="AF61" s="55"/>
      <c r="AH61" s="55"/>
      <c r="AI61" s="55"/>
      <c r="AJ61" s="55"/>
    </row>
    <row r="62" ht="22.5" customHeight="1">
      <c r="A62" s="12">
        <v>45777.0</v>
      </c>
      <c r="B62" s="114">
        <v>48.5</v>
      </c>
      <c r="C62" s="120">
        <v>42.0</v>
      </c>
      <c r="D62" s="116">
        <v>113.0</v>
      </c>
      <c r="E62" s="116">
        <v>34.0</v>
      </c>
      <c r="F62" s="117">
        <v>57.0</v>
      </c>
      <c r="G62" s="116">
        <v>30.0</v>
      </c>
      <c r="H62" s="116">
        <v>112.0</v>
      </c>
      <c r="I62" s="116">
        <v>625.0</v>
      </c>
      <c r="J62" s="116">
        <v>620.0</v>
      </c>
      <c r="K62" s="116">
        <v>40.0</v>
      </c>
      <c r="L62" s="116">
        <v>120.0</v>
      </c>
      <c r="M62" s="116">
        <v>115.0</v>
      </c>
      <c r="N62" s="55"/>
      <c r="O62" s="55"/>
      <c r="P62" s="55"/>
      <c r="R62" s="55"/>
      <c r="S62" s="55"/>
      <c r="T62" s="55"/>
      <c r="V62" s="55"/>
      <c r="W62" s="55"/>
      <c r="X62" s="55"/>
      <c r="Z62" s="55"/>
      <c r="AA62" s="55"/>
      <c r="AB62" s="55"/>
      <c r="AD62" s="55"/>
      <c r="AE62" s="55"/>
      <c r="AF62" s="55"/>
      <c r="AH62" s="55"/>
      <c r="AI62" s="55"/>
      <c r="AJ62" s="55"/>
    </row>
    <row r="63" ht="22.5" customHeight="1">
      <c r="A63" s="121" t="s">
        <v>57</v>
      </c>
      <c r="B63" s="122">
        <f t="shared" ref="B63:M63" si="1">AVERAGE(B1:B62)</f>
        <v>48.5</v>
      </c>
      <c r="C63" s="122">
        <f t="shared" si="1"/>
        <v>42.37704918</v>
      </c>
      <c r="D63" s="122">
        <f t="shared" si="1"/>
        <v>114.2786885</v>
      </c>
      <c r="E63" s="122">
        <f t="shared" si="1"/>
        <v>33.13934426</v>
      </c>
      <c r="F63" s="122">
        <f t="shared" si="1"/>
        <v>57</v>
      </c>
      <c r="G63" s="122">
        <f t="shared" si="1"/>
        <v>30</v>
      </c>
      <c r="H63" s="122">
        <f t="shared" si="1"/>
        <v>113.9836066</v>
      </c>
      <c r="I63" s="122">
        <f t="shared" si="1"/>
        <v>614.5901639</v>
      </c>
      <c r="J63" s="122">
        <f t="shared" si="1"/>
        <v>620</v>
      </c>
      <c r="K63" s="122">
        <f t="shared" si="1"/>
        <v>40</v>
      </c>
      <c r="L63" s="122">
        <f t="shared" si="1"/>
        <v>119.4754098</v>
      </c>
      <c r="M63" s="122">
        <f t="shared" si="1"/>
        <v>115</v>
      </c>
      <c r="N63" s="55"/>
      <c r="O63" s="55"/>
      <c r="P63" s="55"/>
      <c r="R63" s="55"/>
      <c r="S63" s="55"/>
      <c r="T63" s="55"/>
      <c r="V63" s="55"/>
      <c r="W63" s="55"/>
      <c r="X63" s="55"/>
      <c r="Z63" s="55"/>
      <c r="AA63" s="55"/>
      <c r="AB63" s="55"/>
      <c r="AD63" s="55"/>
      <c r="AE63" s="55"/>
      <c r="AF63" s="55"/>
      <c r="AH63" s="55"/>
      <c r="AI63" s="55"/>
      <c r="AJ63" s="55"/>
    </row>
    <row r="64">
      <c r="N64" s="11"/>
      <c r="O64" s="11"/>
      <c r="P64" s="11"/>
    </row>
    <row r="65">
      <c r="N65" s="11"/>
      <c r="O65" s="11"/>
      <c r="P65" s="11"/>
    </row>
    <row r="66">
      <c r="N66" s="11"/>
      <c r="O66" s="11"/>
      <c r="P66" s="11"/>
    </row>
    <row r="67" ht="22.5" customHeight="1">
      <c r="I67" s="79" t="s">
        <v>46</v>
      </c>
      <c r="J67" s="79" t="s">
        <v>77</v>
      </c>
      <c r="N67" s="11"/>
      <c r="O67" s="11"/>
      <c r="P67" s="11"/>
    </row>
    <row r="68" ht="22.5" customHeight="1">
      <c r="I68" s="82" t="s">
        <v>27</v>
      </c>
      <c r="J68" s="83">
        <v>48.5</v>
      </c>
      <c r="N68" s="11"/>
      <c r="O68" s="11"/>
      <c r="P68" s="11"/>
    </row>
    <row r="69" ht="22.5" customHeight="1">
      <c r="I69" s="82" t="s">
        <v>48</v>
      </c>
      <c r="J69" s="83">
        <v>42.377049180327866</v>
      </c>
      <c r="N69" s="11"/>
      <c r="O69" s="11"/>
      <c r="P69" s="11"/>
    </row>
    <row r="70" ht="22.5" customHeight="1">
      <c r="I70" s="82" t="s">
        <v>29</v>
      </c>
      <c r="J70" s="83">
        <v>114.27868852459017</v>
      </c>
      <c r="N70" s="11"/>
      <c r="O70" s="11"/>
      <c r="P70" s="11"/>
    </row>
    <row r="71" ht="22.5" customHeight="1">
      <c r="I71" s="82" t="s">
        <v>30</v>
      </c>
      <c r="J71" s="83">
        <v>33.13934426229508</v>
      </c>
      <c r="N71" s="11"/>
      <c r="O71" s="11"/>
      <c r="P71" s="11"/>
    </row>
    <row r="72" ht="22.5" customHeight="1">
      <c r="I72" s="82" t="s">
        <v>31</v>
      </c>
      <c r="J72" s="83">
        <v>57.0</v>
      </c>
      <c r="N72" s="11"/>
      <c r="O72" s="11"/>
      <c r="P72" s="11"/>
    </row>
    <row r="73" ht="22.5" customHeight="1">
      <c r="I73" s="82" t="s">
        <v>34</v>
      </c>
      <c r="J73" s="83">
        <v>614.5901639344262</v>
      </c>
      <c r="N73" s="11"/>
      <c r="O73" s="11"/>
      <c r="P73" s="11"/>
    </row>
    <row r="74" ht="22.5" customHeight="1">
      <c r="I74" s="82" t="s">
        <v>35</v>
      </c>
      <c r="J74" s="83">
        <v>620.0</v>
      </c>
      <c r="N74" s="11"/>
      <c r="O74" s="11"/>
      <c r="P74" s="11"/>
    </row>
    <row r="75" ht="22.5" customHeight="1">
      <c r="I75" s="82" t="s">
        <v>36</v>
      </c>
      <c r="J75" s="83">
        <v>40.0</v>
      </c>
      <c r="N75" s="11"/>
      <c r="O75" s="11"/>
      <c r="P75" s="11"/>
    </row>
    <row r="76" ht="22.5" customHeight="1">
      <c r="I76" s="82" t="s">
        <v>32</v>
      </c>
      <c r="J76" s="83">
        <v>30.0</v>
      </c>
      <c r="N76" s="11"/>
      <c r="O76" s="11"/>
      <c r="P76" s="11"/>
    </row>
    <row r="77" ht="22.5" customHeight="1">
      <c r="I77" s="82" t="s">
        <v>37</v>
      </c>
      <c r="J77" s="83">
        <v>119.47540983606558</v>
      </c>
      <c r="N77" s="11"/>
      <c r="O77" s="11"/>
      <c r="P77" s="11"/>
    </row>
    <row r="78" ht="22.5" customHeight="1">
      <c r="I78" s="82" t="s">
        <v>33</v>
      </c>
      <c r="J78" s="83">
        <v>113.98360655737704</v>
      </c>
      <c r="N78" s="11"/>
      <c r="O78" s="11"/>
      <c r="P78" s="11"/>
    </row>
    <row r="79" ht="22.5" customHeight="1">
      <c r="I79" s="82" t="s">
        <v>38</v>
      </c>
      <c r="J79" s="83">
        <v>115.0</v>
      </c>
      <c r="N79" s="11"/>
      <c r="O79" s="11"/>
      <c r="P79" s="11"/>
    </row>
    <row r="80">
      <c r="N80" s="11"/>
      <c r="O80" s="11"/>
      <c r="P80" s="11"/>
    </row>
    <row r="81">
      <c r="N81" s="11"/>
      <c r="O81" s="11"/>
      <c r="P81" s="11"/>
    </row>
    <row r="82">
      <c r="N82" s="11"/>
      <c r="O82" s="11"/>
      <c r="P82" s="11"/>
    </row>
    <row r="83">
      <c r="N83" s="11"/>
      <c r="O83" s="11"/>
      <c r="P83" s="11"/>
    </row>
    <row r="84">
      <c r="N84" s="11"/>
      <c r="O84" s="11"/>
      <c r="P84" s="11"/>
    </row>
    <row r="85">
      <c r="N85" s="11"/>
      <c r="O85" s="11"/>
      <c r="P85" s="11"/>
    </row>
    <row r="86">
      <c r="N86" s="11"/>
      <c r="O86" s="11"/>
      <c r="P86" s="11"/>
    </row>
    <row r="87">
      <c r="N87" s="11"/>
      <c r="O87" s="11"/>
      <c r="P87" s="11"/>
    </row>
    <row r="88">
      <c r="N88" s="11"/>
      <c r="O88" s="11"/>
      <c r="P88" s="11"/>
    </row>
    <row r="89">
      <c r="N89" s="11"/>
      <c r="O89" s="11"/>
      <c r="P89" s="11"/>
    </row>
    <row r="90">
      <c r="N90" s="11"/>
      <c r="O90" s="11"/>
      <c r="P90" s="11"/>
    </row>
    <row r="91">
      <c r="N91" s="11"/>
      <c r="O91" s="11"/>
      <c r="P91" s="11"/>
    </row>
    <row r="92">
      <c r="N92" s="11"/>
      <c r="O92" s="11"/>
      <c r="P92" s="11"/>
    </row>
    <row r="93">
      <c r="N93" s="11"/>
      <c r="O93" s="11"/>
      <c r="P93" s="11"/>
    </row>
    <row r="94">
      <c r="N94" s="11"/>
      <c r="O94" s="11"/>
      <c r="P94" s="11"/>
    </row>
    <row r="95">
      <c r="N95" s="11"/>
      <c r="O95" s="11"/>
      <c r="P95" s="11"/>
    </row>
    <row r="96">
      <c r="N96" s="11"/>
      <c r="O96" s="11"/>
      <c r="P96" s="11"/>
    </row>
    <row r="97">
      <c r="N97" s="11"/>
      <c r="O97" s="11"/>
      <c r="P97" s="11"/>
    </row>
    <row r="98">
      <c r="N98" s="11"/>
      <c r="O98" s="11"/>
      <c r="P98" s="11"/>
    </row>
    <row r="99">
      <c r="N99" s="11"/>
      <c r="O99" s="11"/>
      <c r="P99" s="11"/>
    </row>
    <row r="100">
      <c r="N100" s="11"/>
      <c r="O100" s="11"/>
      <c r="P100" s="11"/>
    </row>
    <row r="101">
      <c r="N101" s="11"/>
      <c r="O101" s="11"/>
      <c r="P101" s="11"/>
    </row>
    <row r="102">
      <c r="N102" s="11"/>
      <c r="O102" s="11"/>
      <c r="P102" s="11"/>
    </row>
    <row r="103">
      <c r="N103" s="11"/>
      <c r="O103" s="11"/>
      <c r="P103" s="11"/>
    </row>
    <row r="104">
      <c r="N104" s="11"/>
      <c r="O104" s="11"/>
      <c r="P104" s="11"/>
    </row>
    <row r="105">
      <c r="N105" s="11"/>
      <c r="O105" s="11"/>
      <c r="P105" s="11"/>
    </row>
    <row r="106">
      <c r="N106" s="11"/>
      <c r="O106" s="11"/>
      <c r="P106" s="11"/>
    </row>
    <row r="107">
      <c r="N107" s="11"/>
      <c r="O107" s="11"/>
      <c r="P107" s="11"/>
    </row>
    <row r="108">
      <c r="N108" s="11"/>
      <c r="O108" s="11"/>
      <c r="P108" s="11"/>
    </row>
    <row r="109">
      <c r="N109" s="11"/>
      <c r="O109" s="11"/>
      <c r="P109" s="11"/>
    </row>
    <row r="110">
      <c r="N110" s="11"/>
      <c r="O110" s="11"/>
      <c r="P110" s="11"/>
    </row>
    <row r="111">
      <c r="N111" s="11"/>
      <c r="O111" s="11"/>
      <c r="P111" s="11"/>
    </row>
    <row r="112">
      <c r="N112" s="11"/>
      <c r="O112" s="11"/>
      <c r="P112" s="11"/>
    </row>
    <row r="113">
      <c r="N113" s="11"/>
      <c r="O113" s="11"/>
      <c r="P113" s="11"/>
    </row>
    <row r="114">
      <c r="N114" s="11"/>
      <c r="O114" s="11"/>
      <c r="P114" s="11"/>
    </row>
    <row r="115">
      <c r="N115" s="11"/>
      <c r="O115" s="11"/>
      <c r="P115" s="11"/>
    </row>
    <row r="116">
      <c r="N116" s="11"/>
      <c r="O116" s="11"/>
      <c r="P116" s="11"/>
    </row>
    <row r="117">
      <c r="N117" s="11"/>
      <c r="O117" s="11"/>
      <c r="P117" s="11"/>
    </row>
    <row r="118">
      <c r="N118" s="11"/>
      <c r="O118" s="11"/>
      <c r="P118" s="11"/>
    </row>
    <row r="119">
      <c r="N119" s="11"/>
      <c r="O119" s="11"/>
      <c r="P119" s="11"/>
    </row>
    <row r="120">
      <c r="N120" s="11"/>
      <c r="O120" s="11"/>
      <c r="P120" s="11"/>
    </row>
    <row r="121">
      <c r="N121" s="11"/>
      <c r="O121" s="11"/>
      <c r="P121" s="11"/>
    </row>
    <row r="122">
      <c r="N122" s="11"/>
      <c r="O122" s="11"/>
      <c r="P122" s="11"/>
    </row>
    <row r="123">
      <c r="N123" s="11"/>
      <c r="O123" s="11"/>
      <c r="P123" s="11"/>
    </row>
    <row r="124">
      <c r="N124" s="11"/>
      <c r="O124" s="11"/>
      <c r="P124" s="11"/>
    </row>
    <row r="125">
      <c r="N125" s="11"/>
      <c r="O125" s="11"/>
      <c r="P125" s="11"/>
    </row>
    <row r="126">
      <c r="N126" s="11"/>
      <c r="O126" s="11"/>
      <c r="P126" s="11"/>
    </row>
    <row r="127">
      <c r="N127" s="11"/>
      <c r="O127" s="11"/>
      <c r="P127" s="11"/>
    </row>
    <row r="128">
      <c r="N128" s="11"/>
      <c r="O128" s="11"/>
      <c r="P128" s="11"/>
    </row>
    <row r="129">
      <c r="N129" s="11"/>
      <c r="O129" s="11"/>
      <c r="P129" s="11"/>
    </row>
    <row r="130">
      <c r="N130" s="11"/>
      <c r="O130" s="11"/>
      <c r="P130" s="11"/>
    </row>
    <row r="131">
      <c r="N131" s="11"/>
      <c r="O131" s="11"/>
      <c r="P131" s="11"/>
    </row>
    <row r="132">
      <c r="N132" s="11"/>
      <c r="O132" s="11"/>
      <c r="P132" s="11"/>
    </row>
    <row r="133">
      <c r="N133" s="11"/>
      <c r="O133" s="11"/>
      <c r="P133" s="11"/>
    </row>
    <row r="134">
      <c r="N134" s="11"/>
      <c r="O134" s="11"/>
      <c r="P134" s="11"/>
    </row>
    <row r="135">
      <c r="N135" s="11"/>
      <c r="O135" s="11"/>
      <c r="P135" s="11"/>
    </row>
    <row r="136">
      <c r="N136" s="11"/>
      <c r="O136" s="11"/>
      <c r="P136" s="11"/>
    </row>
    <row r="137">
      <c r="N137" s="11"/>
      <c r="O137" s="11"/>
      <c r="P137" s="11"/>
    </row>
    <row r="138">
      <c r="N138" s="11"/>
      <c r="O138" s="11"/>
      <c r="P138" s="11"/>
    </row>
    <row r="139">
      <c r="N139" s="11"/>
      <c r="O139" s="11"/>
      <c r="P139" s="11"/>
    </row>
    <row r="140">
      <c r="N140" s="11"/>
      <c r="O140" s="11"/>
      <c r="P140" s="11"/>
    </row>
    <row r="141">
      <c r="N141" s="11"/>
      <c r="O141" s="11"/>
      <c r="P141" s="11"/>
    </row>
    <row r="142">
      <c r="N142" s="11"/>
      <c r="O142" s="11"/>
      <c r="P142" s="11"/>
    </row>
    <row r="143">
      <c r="N143" s="11"/>
      <c r="O143" s="11"/>
      <c r="P143" s="11"/>
    </row>
    <row r="144">
      <c r="N144" s="11"/>
      <c r="O144" s="11"/>
      <c r="P144" s="11"/>
    </row>
    <row r="145">
      <c r="N145" s="11"/>
      <c r="O145" s="11"/>
      <c r="P145" s="11"/>
    </row>
    <row r="146">
      <c r="N146" s="11"/>
      <c r="O146" s="11"/>
      <c r="P146" s="11"/>
    </row>
    <row r="147">
      <c r="N147" s="11"/>
      <c r="O147" s="11"/>
      <c r="P147" s="11"/>
    </row>
    <row r="148">
      <c r="N148" s="11"/>
      <c r="O148" s="11"/>
      <c r="P148" s="11"/>
    </row>
    <row r="149">
      <c r="N149" s="11"/>
      <c r="O149" s="11"/>
      <c r="P149" s="11"/>
    </row>
    <row r="150">
      <c r="N150" s="11"/>
      <c r="O150" s="11"/>
      <c r="P150" s="11"/>
    </row>
    <row r="151">
      <c r="N151" s="11"/>
      <c r="O151" s="11"/>
      <c r="P151" s="11"/>
    </row>
    <row r="152">
      <c r="N152" s="11"/>
      <c r="O152" s="11"/>
      <c r="P152" s="11"/>
    </row>
    <row r="153">
      <c r="N153" s="11"/>
      <c r="O153" s="11"/>
      <c r="P153" s="11"/>
    </row>
    <row r="154">
      <c r="N154" s="11"/>
      <c r="O154" s="11"/>
      <c r="P154" s="11"/>
    </row>
    <row r="155">
      <c r="N155" s="11"/>
      <c r="O155" s="11"/>
      <c r="P155" s="11"/>
    </row>
    <row r="156">
      <c r="N156" s="11"/>
      <c r="O156" s="11"/>
      <c r="P156" s="11"/>
    </row>
    <row r="157">
      <c r="N157" s="11"/>
      <c r="O157" s="11"/>
      <c r="P157" s="11"/>
    </row>
    <row r="158">
      <c r="N158" s="11"/>
      <c r="O158" s="11"/>
      <c r="P158" s="11"/>
    </row>
    <row r="159">
      <c r="N159" s="11"/>
      <c r="O159" s="11"/>
      <c r="P159" s="11"/>
    </row>
    <row r="160">
      <c r="N160" s="11"/>
      <c r="O160" s="11"/>
      <c r="P160" s="11"/>
    </row>
    <row r="161">
      <c r="N161" s="11"/>
      <c r="O161" s="11"/>
      <c r="P161" s="11"/>
    </row>
    <row r="162">
      <c r="N162" s="11"/>
      <c r="O162" s="11"/>
      <c r="P162" s="11"/>
    </row>
    <row r="163">
      <c r="N163" s="11"/>
      <c r="O163" s="11"/>
      <c r="P163" s="11"/>
    </row>
    <row r="164">
      <c r="N164" s="11"/>
      <c r="O164" s="11"/>
      <c r="P164" s="11"/>
    </row>
    <row r="165">
      <c r="N165" s="11"/>
      <c r="O165" s="11"/>
      <c r="P165" s="11"/>
    </row>
    <row r="166">
      <c r="N166" s="11"/>
      <c r="O166" s="11"/>
      <c r="P166" s="11"/>
    </row>
    <row r="167">
      <c r="N167" s="11"/>
      <c r="O167" s="11"/>
      <c r="P167" s="11"/>
    </row>
    <row r="168">
      <c r="N168" s="11"/>
      <c r="O168" s="11"/>
      <c r="P168" s="11"/>
    </row>
    <row r="169">
      <c r="N169" s="11"/>
      <c r="O169" s="11"/>
      <c r="P169" s="11"/>
    </row>
    <row r="170">
      <c r="N170" s="11"/>
      <c r="O170" s="11"/>
      <c r="P170" s="11"/>
    </row>
    <row r="171">
      <c r="N171" s="11"/>
      <c r="O171" s="11"/>
      <c r="P171" s="11"/>
    </row>
    <row r="172">
      <c r="N172" s="11"/>
      <c r="O172" s="11"/>
      <c r="P172" s="11"/>
    </row>
    <row r="173">
      <c r="N173" s="11"/>
      <c r="O173" s="11"/>
      <c r="P173" s="11"/>
    </row>
    <row r="174">
      <c r="N174" s="11"/>
      <c r="O174" s="11"/>
      <c r="P174" s="11"/>
    </row>
    <row r="175">
      <c r="N175" s="11"/>
      <c r="O175" s="11"/>
      <c r="P175" s="11"/>
    </row>
    <row r="176">
      <c r="N176" s="11"/>
      <c r="O176" s="11"/>
      <c r="P176" s="11"/>
    </row>
    <row r="177">
      <c r="N177" s="11"/>
      <c r="O177" s="11"/>
      <c r="P177" s="11"/>
    </row>
    <row r="178">
      <c r="N178" s="11"/>
      <c r="O178" s="11"/>
      <c r="P178" s="11"/>
    </row>
    <row r="179">
      <c r="N179" s="11"/>
      <c r="O179" s="11"/>
      <c r="P179" s="11"/>
    </row>
    <row r="180">
      <c r="N180" s="11"/>
      <c r="O180" s="11"/>
      <c r="P180" s="11"/>
    </row>
    <row r="181">
      <c r="N181" s="11"/>
      <c r="O181" s="11"/>
      <c r="P181" s="11"/>
    </row>
    <row r="182">
      <c r="N182" s="11"/>
      <c r="O182" s="11"/>
      <c r="P182" s="11"/>
    </row>
    <row r="183">
      <c r="N183" s="11"/>
      <c r="O183" s="11"/>
      <c r="P183" s="11"/>
    </row>
    <row r="184">
      <c r="N184" s="11"/>
      <c r="O184" s="11"/>
      <c r="P184" s="11"/>
    </row>
    <row r="185">
      <c r="N185" s="11"/>
      <c r="O185" s="11"/>
      <c r="P185" s="11"/>
    </row>
    <row r="186">
      <c r="N186" s="11"/>
      <c r="O186" s="11"/>
      <c r="P186" s="11"/>
    </row>
    <row r="187">
      <c r="N187" s="11"/>
      <c r="O187" s="11"/>
      <c r="P187" s="11"/>
    </row>
    <row r="188">
      <c r="N188" s="11"/>
      <c r="O188" s="11"/>
      <c r="P188" s="11"/>
    </row>
    <row r="189">
      <c r="N189" s="11"/>
      <c r="O189" s="11"/>
      <c r="P189" s="11"/>
    </row>
    <row r="190">
      <c r="N190" s="11"/>
      <c r="O190" s="11"/>
      <c r="P190" s="11"/>
    </row>
    <row r="191">
      <c r="N191" s="11"/>
      <c r="O191" s="11"/>
      <c r="P191" s="11"/>
    </row>
    <row r="192">
      <c r="N192" s="11"/>
      <c r="O192" s="11"/>
      <c r="P192" s="11"/>
    </row>
    <row r="193">
      <c r="N193" s="11"/>
      <c r="O193" s="11"/>
      <c r="P193" s="11"/>
    </row>
    <row r="194">
      <c r="N194" s="11"/>
      <c r="O194" s="11"/>
      <c r="P194" s="11"/>
    </row>
    <row r="195">
      <c r="N195" s="11"/>
      <c r="O195" s="11"/>
      <c r="P195" s="11"/>
    </row>
    <row r="196">
      <c r="N196" s="11"/>
      <c r="O196" s="11"/>
      <c r="P196" s="11"/>
    </row>
    <row r="197">
      <c r="N197" s="11"/>
      <c r="O197" s="11"/>
      <c r="P197" s="11"/>
    </row>
    <row r="198">
      <c r="N198" s="11"/>
      <c r="O198" s="11"/>
      <c r="P198" s="11"/>
    </row>
    <row r="199">
      <c r="N199" s="11"/>
      <c r="O199" s="11"/>
      <c r="P199" s="11"/>
    </row>
    <row r="200">
      <c r="N200" s="11"/>
      <c r="O200" s="11"/>
      <c r="P200" s="11"/>
    </row>
    <row r="201">
      <c r="N201" s="11"/>
      <c r="O201" s="11"/>
      <c r="P201" s="11"/>
    </row>
    <row r="202">
      <c r="N202" s="11"/>
      <c r="O202" s="11"/>
      <c r="P202" s="11"/>
    </row>
    <row r="203">
      <c r="N203" s="11"/>
      <c r="O203" s="11"/>
      <c r="P203" s="11"/>
    </row>
    <row r="204">
      <c r="N204" s="11"/>
      <c r="O204" s="11"/>
      <c r="P204" s="11"/>
    </row>
    <row r="205">
      <c r="N205" s="11"/>
      <c r="O205" s="11"/>
      <c r="P205" s="11"/>
    </row>
    <row r="206">
      <c r="N206" s="11"/>
      <c r="O206" s="11"/>
      <c r="P206" s="11"/>
    </row>
    <row r="207">
      <c r="N207" s="11"/>
      <c r="O207" s="11"/>
      <c r="P207" s="11"/>
    </row>
    <row r="208">
      <c r="N208" s="11"/>
      <c r="O208" s="11"/>
      <c r="P208" s="11"/>
    </row>
    <row r="209">
      <c r="N209" s="11"/>
      <c r="O209" s="11"/>
      <c r="P209" s="11"/>
    </row>
    <row r="210">
      <c r="N210" s="11"/>
      <c r="O210" s="11"/>
      <c r="P210" s="11"/>
    </row>
    <row r="211">
      <c r="N211" s="11"/>
      <c r="O211" s="11"/>
      <c r="P211" s="11"/>
    </row>
    <row r="212">
      <c r="N212" s="11"/>
      <c r="O212" s="11"/>
      <c r="P212" s="11"/>
    </row>
    <row r="213">
      <c r="N213" s="11"/>
      <c r="O213" s="11"/>
      <c r="P213" s="11"/>
    </row>
    <row r="214">
      <c r="N214" s="11"/>
      <c r="O214" s="11"/>
      <c r="P214" s="11"/>
    </row>
    <row r="215">
      <c r="N215" s="11"/>
      <c r="O215" s="11"/>
      <c r="P215" s="11"/>
    </row>
    <row r="216">
      <c r="N216" s="11"/>
      <c r="O216" s="11"/>
      <c r="P216" s="11"/>
    </row>
    <row r="217">
      <c r="N217" s="11"/>
      <c r="O217" s="11"/>
      <c r="P217" s="11"/>
    </row>
    <row r="218">
      <c r="N218" s="11"/>
      <c r="O218" s="11"/>
      <c r="P218" s="11"/>
    </row>
    <row r="219">
      <c r="N219" s="11"/>
      <c r="O219" s="11"/>
      <c r="P219" s="11"/>
    </row>
    <row r="220">
      <c r="N220" s="11"/>
      <c r="O220" s="11"/>
      <c r="P220" s="11"/>
    </row>
    <row r="221">
      <c r="N221" s="11"/>
      <c r="O221" s="11"/>
      <c r="P221" s="11"/>
    </row>
    <row r="222">
      <c r="N222" s="11"/>
      <c r="O222" s="11"/>
      <c r="P222" s="11"/>
    </row>
    <row r="223">
      <c r="N223" s="11"/>
      <c r="O223" s="11"/>
      <c r="P223" s="11"/>
    </row>
    <row r="224">
      <c r="N224" s="11"/>
      <c r="O224" s="11"/>
      <c r="P224" s="11"/>
    </row>
    <row r="225">
      <c r="N225" s="11"/>
      <c r="O225" s="11"/>
      <c r="P225" s="11"/>
    </row>
    <row r="226">
      <c r="N226" s="11"/>
      <c r="O226" s="11"/>
      <c r="P226" s="11"/>
    </row>
    <row r="227">
      <c r="N227" s="11"/>
      <c r="O227" s="11"/>
      <c r="P227" s="11"/>
    </row>
    <row r="228">
      <c r="N228" s="11"/>
      <c r="O228" s="11"/>
      <c r="P228" s="11"/>
    </row>
    <row r="229">
      <c r="N229" s="11"/>
      <c r="O229" s="11"/>
      <c r="P229" s="11"/>
    </row>
    <row r="230">
      <c r="N230" s="11"/>
      <c r="O230" s="11"/>
      <c r="P230" s="11"/>
    </row>
    <row r="231">
      <c r="N231" s="11"/>
      <c r="O231" s="11"/>
      <c r="P231" s="11"/>
    </row>
    <row r="232">
      <c r="N232" s="11"/>
      <c r="O232" s="11"/>
      <c r="P232" s="11"/>
    </row>
    <row r="233">
      <c r="N233" s="11"/>
      <c r="O233" s="11"/>
      <c r="P233" s="11"/>
    </row>
    <row r="234">
      <c r="N234" s="11"/>
      <c r="O234" s="11"/>
      <c r="P234" s="11"/>
    </row>
    <row r="235">
      <c r="N235" s="11"/>
      <c r="O235" s="11"/>
      <c r="P235" s="11"/>
    </row>
    <row r="236">
      <c r="N236" s="11"/>
      <c r="O236" s="11"/>
      <c r="P236" s="11"/>
    </row>
    <row r="237">
      <c r="N237" s="11"/>
      <c r="O237" s="11"/>
      <c r="P237" s="11"/>
    </row>
    <row r="238">
      <c r="N238" s="11"/>
      <c r="O238" s="11"/>
      <c r="P238" s="11"/>
    </row>
    <row r="239">
      <c r="N239" s="11"/>
      <c r="O239" s="11"/>
      <c r="P239" s="11"/>
    </row>
    <row r="240">
      <c r="N240" s="11"/>
      <c r="O240" s="11"/>
      <c r="P240" s="11"/>
    </row>
    <row r="241">
      <c r="N241" s="11"/>
      <c r="O241" s="11"/>
      <c r="P241" s="11"/>
    </row>
    <row r="242">
      <c r="N242" s="11"/>
      <c r="O242" s="11"/>
      <c r="P242" s="11"/>
    </row>
    <row r="243">
      <c r="N243" s="11"/>
      <c r="O243" s="11"/>
      <c r="P243" s="11"/>
    </row>
    <row r="244">
      <c r="N244" s="11"/>
      <c r="O244" s="11"/>
      <c r="P244" s="11"/>
    </row>
    <row r="245">
      <c r="N245" s="11"/>
      <c r="O245" s="11"/>
      <c r="P245" s="11"/>
    </row>
    <row r="246">
      <c r="N246" s="11"/>
      <c r="O246" s="11"/>
      <c r="P246" s="11"/>
    </row>
    <row r="247">
      <c r="N247" s="11"/>
      <c r="O247" s="11"/>
      <c r="P247" s="11"/>
    </row>
    <row r="248">
      <c r="N248" s="11"/>
      <c r="O248" s="11"/>
      <c r="P248" s="11"/>
    </row>
    <row r="249">
      <c r="N249" s="11"/>
      <c r="O249" s="11"/>
      <c r="P249" s="11"/>
    </row>
    <row r="250">
      <c r="N250" s="11"/>
      <c r="O250" s="11"/>
      <c r="P250" s="11"/>
    </row>
    <row r="251">
      <c r="N251" s="11"/>
      <c r="O251" s="11"/>
      <c r="P251" s="11"/>
    </row>
    <row r="252">
      <c r="N252" s="11"/>
      <c r="O252" s="11"/>
      <c r="P252" s="11"/>
    </row>
    <row r="253">
      <c r="N253" s="11"/>
      <c r="O253" s="11"/>
      <c r="P253" s="11"/>
    </row>
    <row r="254">
      <c r="N254" s="11"/>
      <c r="O254" s="11"/>
      <c r="P254" s="11"/>
    </row>
    <row r="255">
      <c r="N255" s="11"/>
      <c r="O255" s="11"/>
      <c r="P255" s="11"/>
    </row>
    <row r="256">
      <c r="N256" s="11"/>
      <c r="O256" s="11"/>
      <c r="P256" s="11"/>
    </row>
    <row r="257">
      <c r="N257" s="11"/>
      <c r="O257" s="11"/>
      <c r="P257" s="11"/>
    </row>
    <row r="258">
      <c r="N258" s="11"/>
      <c r="O258" s="11"/>
      <c r="P258" s="11"/>
    </row>
    <row r="259">
      <c r="N259" s="11"/>
      <c r="O259" s="11"/>
      <c r="P259" s="11"/>
    </row>
    <row r="260">
      <c r="N260" s="11"/>
      <c r="O260" s="11"/>
      <c r="P260" s="11"/>
    </row>
    <row r="261">
      <c r="N261" s="11"/>
      <c r="O261" s="11"/>
      <c r="P261" s="11"/>
    </row>
    <row r="262">
      <c r="N262" s="11"/>
      <c r="O262" s="11"/>
      <c r="P262" s="11"/>
    </row>
    <row r="263">
      <c r="N263" s="11"/>
      <c r="O263" s="11"/>
      <c r="P263" s="11"/>
    </row>
    <row r="264">
      <c r="N264" s="11"/>
      <c r="O264" s="11"/>
      <c r="P264" s="11"/>
    </row>
    <row r="265">
      <c r="N265" s="11"/>
      <c r="O265" s="11"/>
      <c r="P265" s="11"/>
    </row>
    <row r="266">
      <c r="N266" s="11"/>
      <c r="O266" s="11"/>
      <c r="P266" s="11"/>
    </row>
    <row r="267">
      <c r="N267" s="11"/>
      <c r="O267" s="11"/>
      <c r="P267" s="11"/>
    </row>
    <row r="268">
      <c r="N268" s="11"/>
      <c r="O268" s="11"/>
      <c r="P268" s="11"/>
    </row>
    <row r="269">
      <c r="N269" s="11"/>
      <c r="O269" s="11"/>
      <c r="P269" s="11"/>
    </row>
    <row r="270">
      <c r="N270" s="11"/>
      <c r="O270" s="11"/>
      <c r="P270" s="11"/>
    </row>
    <row r="271">
      <c r="N271" s="11"/>
      <c r="O271" s="11"/>
      <c r="P271" s="11"/>
    </row>
    <row r="272">
      <c r="N272" s="11"/>
      <c r="O272" s="11"/>
      <c r="P272" s="11"/>
    </row>
    <row r="273">
      <c r="N273" s="11"/>
      <c r="O273" s="11"/>
      <c r="P273" s="11"/>
    </row>
    <row r="274">
      <c r="N274" s="11"/>
      <c r="O274" s="11"/>
      <c r="P274" s="11"/>
    </row>
    <row r="275">
      <c r="N275" s="11"/>
      <c r="O275" s="11"/>
      <c r="P275" s="11"/>
    </row>
    <row r="276">
      <c r="N276" s="11"/>
      <c r="O276" s="11"/>
      <c r="P276" s="11"/>
    </row>
    <row r="277">
      <c r="N277" s="11"/>
      <c r="O277" s="11"/>
      <c r="P277" s="11"/>
    </row>
    <row r="278">
      <c r="N278" s="11"/>
      <c r="O278" s="11"/>
      <c r="P278" s="11"/>
    </row>
    <row r="279">
      <c r="N279" s="11"/>
      <c r="O279" s="11"/>
      <c r="P279" s="11"/>
    </row>
    <row r="280">
      <c r="N280" s="11"/>
      <c r="O280" s="11"/>
      <c r="P280" s="11"/>
    </row>
    <row r="281">
      <c r="N281" s="11"/>
      <c r="O281" s="11"/>
      <c r="P281" s="11"/>
    </row>
    <row r="282">
      <c r="N282" s="11"/>
      <c r="O282" s="11"/>
      <c r="P282" s="11"/>
    </row>
    <row r="283">
      <c r="N283" s="11"/>
      <c r="O283" s="11"/>
      <c r="P283" s="11"/>
    </row>
    <row r="284">
      <c r="N284" s="11"/>
      <c r="O284" s="11"/>
      <c r="P284" s="11"/>
    </row>
    <row r="285">
      <c r="N285" s="11"/>
      <c r="O285" s="11"/>
      <c r="P285" s="11"/>
    </row>
    <row r="286">
      <c r="N286" s="11"/>
      <c r="O286" s="11"/>
      <c r="P286" s="11"/>
    </row>
    <row r="287">
      <c r="N287" s="11"/>
      <c r="O287" s="11"/>
      <c r="P287" s="11"/>
    </row>
    <row r="288">
      <c r="N288" s="11"/>
      <c r="O288" s="11"/>
      <c r="P288" s="11"/>
    </row>
    <row r="289">
      <c r="N289" s="11"/>
      <c r="O289" s="11"/>
      <c r="P289" s="11"/>
    </row>
    <row r="290">
      <c r="N290" s="11"/>
      <c r="O290" s="11"/>
      <c r="P290" s="11"/>
    </row>
    <row r="291">
      <c r="N291" s="11"/>
      <c r="O291" s="11"/>
      <c r="P291" s="11"/>
    </row>
    <row r="292">
      <c r="N292" s="11"/>
      <c r="O292" s="11"/>
      <c r="P292" s="11"/>
    </row>
    <row r="293">
      <c r="N293" s="11"/>
      <c r="O293" s="11"/>
      <c r="P293" s="11"/>
    </row>
    <row r="294">
      <c r="N294" s="11"/>
      <c r="O294" s="11"/>
      <c r="P294" s="11"/>
    </row>
    <row r="295">
      <c r="N295" s="11"/>
      <c r="O295" s="11"/>
      <c r="P295" s="11"/>
    </row>
    <row r="296">
      <c r="N296" s="11"/>
      <c r="O296" s="11"/>
      <c r="P296" s="11"/>
    </row>
    <row r="297">
      <c r="N297" s="11"/>
      <c r="O297" s="11"/>
      <c r="P297" s="11"/>
    </row>
    <row r="298">
      <c r="N298" s="11"/>
      <c r="O298" s="11"/>
      <c r="P298" s="11"/>
    </row>
    <row r="299">
      <c r="N299" s="11"/>
      <c r="O299" s="11"/>
      <c r="P299" s="11"/>
    </row>
    <row r="300">
      <c r="N300" s="11"/>
      <c r="O300" s="11"/>
      <c r="P300" s="11"/>
    </row>
    <row r="301">
      <c r="N301" s="11"/>
      <c r="O301" s="11"/>
      <c r="P301" s="11"/>
    </row>
    <row r="302">
      <c r="N302" s="11"/>
      <c r="O302" s="11"/>
      <c r="P302" s="11"/>
    </row>
    <row r="303">
      <c r="N303" s="11"/>
      <c r="O303" s="11"/>
      <c r="P303" s="11"/>
    </row>
    <row r="304">
      <c r="N304" s="11"/>
      <c r="O304" s="11"/>
      <c r="P304" s="11"/>
    </row>
    <row r="305">
      <c r="N305" s="11"/>
      <c r="O305" s="11"/>
      <c r="P305" s="11"/>
    </row>
    <row r="306">
      <c r="N306" s="11"/>
      <c r="O306" s="11"/>
      <c r="P306" s="11"/>
    </row>
    <row r="307">
      <c r="N307" s="11"/>
      <c r="O307" s="11"/>
      <c r="P307" s="11"/>
    </row>
    <row r="308">
      <c r="N308" s="11"/>
      <c r="O308" s="11"/>
      <c r="P308" s="11"/>
    </row>
    <row r="309">
      <c r="N309" s="11"/>
      <c r="O309" s="11"/>
      <c r="P309" s="11"/>
    </row>
    <row r="310">
      <c r="N310" s="11"/>
      <c r="O310" s="11"/>
      <c r="P310" s="11"/>
    </row>
    <row r="311">
      <c r="N311" s="11"/>
      <c r="O311" s="11"/>
      <c r="P311" s="11"/>
    </row>
    <row r="312">
      <c r="N312" s="11"/>
      <c r="O312" s="11"/>
      <c r="P312" s="11"/>
    </row>
    <row r="313">
      <c r="N313" s="11"/>
      <c r="O313" s="11"/>
      <c r="P313" s="11"/>
    </row>
    <row r="314">
      <c r="N314" s="11"/>
      <c r="O314" s="11"/>
      <c r="P314" s="11"/>
    </row>
    <row r="315">
      <c r="N315" s="11"/>
      <c r="O315" s="11"/>
      <c r="P315" s="11"/>
    </row>
    <row r="316">
      <c r="N316" s="11"/>
      <c r="O316" s="11"/>
      <c r="P316" s="11"/>
    </row>
    <row r="317">
      <c r="N317" s="11"/>
      <c r="O317" s="11"/>
      <c r="P317" s="11"/>
    </row>
    <row r="318">
      <c r="N318" s="11"/>
      <c r="O318" s="11"/>
      <c r="P318" s="11"/>
    </row>
    <row r="319">
      <c r="N319" s="11"/>
      <c r="O319" s="11"/>
      <c r="P319" s="11"/>
    </row>
    <row r="320">
      <c r="N320" s="11"/>
      <c r="O320" s="11"/>
      <c r="P320" s="11"/>
    </row>
    <row r="321">
      <c r="N321" s="11"/>
      <c r="O321" s="11"/>
      <c r="P321" s="11"/>
    </row>
    <row r="322">
      <c r="N322" s="11"/>
      <c r="O322" s="11"/>
      <c r="P322" s="11"/>
    </row>
    <row r="323">
      <c r="N323" s="11"/>
      <c r="O323" s="11"/>
      <c r="P323" s="11"/>
    </row>
    <row r="324">
      <c r="N324" s="11"/>
      <c r="O324" s="11"/>
      <c r="P324" s="11"/>
    </row>
    <row r="325">
      <c r="N325" s="11"/>
      <c r="O325" s="11"/>
      <c r="P325" s="11"/>
    </row>
    <row r="326">
      <c r="N326" s="11"/>
      <c r="O326" s="11"/>
      <c r="P326" s="11"/>
    </row>
    <row r="327">
      <c r="N327" s="11"/>
      <c r="O327" s="11"/>
      <c r="P327" s="11"/>
    </row>
    <row r="328">
      <c r="N328" s="11"/>
      <c r="O328" s="11"/>
      <c r="P328" s="11"/>
    </row>
    <row r="329">
      <c r="N329" s="11"/>
      <c r="O329" s="11"/>
      <c r="P329" s="11"/>
    </row>
    <row r="330">
      <c r="N330" s="11"/>
      <c r="O330" s="11"/>
      <c r="P330" s="11"/>
    </row>
    <row r="331">
      <c r="N331" s="11"/>
      <c r="O331" s="11"/>
      <c r="P331" s="11"/>
    </row>
    <row r="332">
      <c r="N332" s="11"/>
      <c r="O332" s="11"/>
      <c r="P332" s="11"/>
    </row>
    <row r="333">
      <c r="N333" s="11"/>
      <c r="O333" s="11"/>
      <c r="P333" s="11"/>
    </row>
    <row r="334">
      <c r="N334" s="11"/>
      <c r="O334" s="11"/>
      <c r="P334" s="11"/>
    </row>
    <row r="335">
      <c r="N335" s="11"/>
      <c r="O335" s="11"/>
      <c r="P335" s="11"/>
    </row>
    <row r="336">
      <c r="N336" s="11"/>
      <c r="O336" s="11"/>
      <c r="P336" s="11"/>
    </row>
    <row r="337">
      <c r="N337" s="11"/>
      <c r="O337" s="11"/>
      <c r="P337" s="11"/>
    </row>
    <row r="338">
      <c r="N338" s="11"/>
      <c r="O338" s="11"/>
      <c r="P338" s="11"/>
    </row>
    <row r="339">
      <c r="N339" s="11"/>
      <c r="O339" s="11"/>
      <c r="P339" s="11"/>
    </row>
    <row r="340">
      <c r="N340" s="11"/>
      <c r="O340" s="11"/>
      <c r="P340" s="11"/>
    </row>
    <row r="341">
      <c r="N341" s="11"/>
      <c r="O341" s="11"/>
      <c r="P341" s="11"/>
    </row>
    <row r="342">
      <c r="N342" s="11"/>
      <c r="O342" s="11"/>
      <c r="P342" s="11"/>
    </row>
    <row r="343">
      <c r="N343" s="11"/>
      <c r="O343" s="11"/>
      <c r="P343" s="11"/>
    </row>
    <row r="344">
      <c r="N344" s="11"/>
      <c r="O344" s="11"/>
      <c r="P344" s="11"/>
    </row>
    <row r="345">
      <c r="N345" s="11"/>
      <c r="O345" s="11"/>
      <c r="P345" s="11"/>
    </row>
    <row r="346">
      <c r="N346" s="11"/>
      <c r="O346" s="11"/>
      <c r="P346" s="11"/>
    </row>
    <row r="347">
      <c r="N347" s="11"/>
      <c r="O347" s="11"/>
      <c r="P347" s="11"/>
    </row>
    <row r="348">
      <c r="N348" s="11"/>
      <c r="O348" s="11"/>
      <c r="P348" s="11"/>
    </row>
    <row r="349">
      <c r="N349" s="11"/>
      <c r="O349" s="11"/>
      <c r="P349" s="11"/>
    </row>
    <row r="350">
      <c r="N350" s="11"/>
      <c r="O350" s="11"/>
      <c r="P350" s="11"/>
    </row>
    <row r="351">
      <c r="N351" s="11"/>
      <c r="O351" s="11"/>
      <c r="P351" s="11"/>
    </row>
    <row r="352">
      <c r="N352" s="11"/>
      <c r="O352" s="11"/>
      <c r="P352" s="11"/>
    </row>
    <row r="353">
      <c r="N353" s="11"/>
      <c r="O353" s="11"/>
      <c r="P353" s="11"/>
    </row>
    <row r="354">
      <c r="N354" s="11"/>
      <c r="O354" s="11"/>
      <c r="P354" s="11"/>
    </row>
    <row r="355">
      <c r="N355" s="11"/>
      <c r="O355" s="11"/>
      <c r="P355" s="11"/>
    </row>
    <row r="356">
      <c r="N356" s="11"/>
      <c r="O356" s="11"/>
      <c r="P356" s="11"/>
    </row>
    <row r="357">
      <c r="N357" s="11"/>
      <c r="O357" s="11"/>
      <c r="P357" s="11"/>
    </row>
    <row r="358">
      <c r="N358" s="11"/>
      <c r="O358" s="11"/>
      <c r="P358" s="11"/>
    </row>
    <row r="359">
      <c r="N359" s="11"/>
      <c r="O359" s="11"/>
      <c r="P359" s="11"/>
    </row>
    <row r="360">
      <c r="N360" s="11"/>
      <c r="O360" s="11"/>
      <c r="P360" s="11"/>
    </row>
    <row r="361">
      <c r="N361" s="11"/>
      <c r="O361" s="11"/>
      <c r="P361" s="11"/>
    </row>
    <row r="362">
      <c r="N362" s="11"/>
      <c r="O362" s="11"/>
      <c r="P362" s="11"/>
    </row>
    <row r="363">
      <c r="N363" s="11"/>
      <c r="O363" s="11"/>
      <c r="P363" s="11"/>
    </row>
    <row r="364">
      <c r="N364" s="11"/>
      <c r="O364" s="11"/>
      <c r="P364" s="11"/>
    </row>
    <row r="365">
      <c r="N365" s="11"/>
      <c r="O365" s="11"/>
      <c r="P365" s="11"/>
    </row>
    <row r="366">
      <c r="N366" s="11"/>
      <c r="O366" s="11"/>
      <c r="P366" s="11"/>
    </row>
    <row r="367">
      <c r="N367" s="11"/>
      <c r="O367" s="11"/>
      <c r="P367" s="11"/>
    </row>
    <row r="368">
      <c r="N368" s="11"/>
      <c r="O368" s="11"/>
      <c r="P368" s="11"/>
    </row>
    <row r="369">
      <c r="N369" s="11"/>
      <c r="O369" s="11"/>
      <c r="P369" s="11"/>
    </row>
    <row r="370">
      <c r="N370" s="11"/>
      <c r="O370" s="11"/>
      <c r="P370" s="11"/>
    </row>
    <row r="371">
      <c r="N371" s="11"/>
      <c r="O371" s="11"/>
      <c r="P371" s="11"/>
    </row>
    <row r="372">
      <c r="N372" s="11"/>
      <c r="O372" s="11"/>
      <c r="P372" s="11"/>
    </row>
    <row r="373">
      <c r="N373" s="11"/>
      <c r="O373" s="11"/>
      <c r="P373" s="11"/>
    </row>
    <row r="374">
      <c r="N374" s="11"/>
      <c r="O374" s="11"/>
      <c r="P374" s="11"/>
    </row>
    <row r="375">
      <c r="N375" s="11"/>
      <c r="O375" s="11"/>
      <c r="P375" s="11"/>
    </row>
    <row r="376">
      <c r="N376" s="11"/>
      <c r="O376" s="11"/>
      <c r="P376" s="11"/>
    </row>
    <row r="377">
      <c r="N377" s="11"/>
      <c r="O377" s="11"/>
      <c r="P377" s="11"/>
    </row>
    <row r="378">
      <c r="N378" s="11"/>
      <c r="O378" s="11"/>
      <c r="P378" s="11"/>
    </row>
    <row r="379">
      <c r="N379" s="11"/>
      <c r="O379" s="11"/>
      <c r="P379" s="11"/>
    </row>
    <row r="380">
      <c r="N380" s="11"/>
      <c r="O380" s="11"/>
      <c r="P380" s="11"/>
    </row>
    <row r="381">
      <c r="N381" s="11"/>
      <c r="O381" s="11"/>
      <c r="P381" s="11"/>
    </row>
    <row r="382">
      <c r="N382" s="11"/>
      <c r="O382" s="11"/>
      <c r="P382" s="11"/>
    </row>
    <row r="383">
      <c r="N383" s="11"/>
      <c r="O383" s="11"/>
      <c r="P383" s="11"/>
    </row>
    <row r="384">
      <c r="N384" s="11"/>
      <c r="O384" s="11"/>
      <c r="P384" s="11"/>
    </row>
    <row r="385">
      <c r="N385" s="11"/>
      <c r="O385" s="11"/>
      <c r="P385" s="11"/>
    </row>
    <row r="386">
      <c r="N386" s="11"/>
      <c r="O386" s="11"/>
      <c r="P386" s="11"/>
    </row>
    <row r="387">
      <c r="N387" s="11"/>
      <c r="O387" s="11"/>
      <c r="P387" s="11"/>
    </row>
    <row r="388">
      <c r="N388" s="11"/>
      <c r="O388" s="11"/>
      <c r="P388" s="11"/>
    </row>
    <row r="389">
      <c r="N389" s="11"/>
      <c r="O389" s="11"/>
      <c r="P389" s="11"/>
    </row>
    <row r="390">
      <c r="N390" s="11"/>
      <c r="O390" s="11"/>
      <c r="P390" s="11"/>
    </row>
    <row r="391">
      <c r="N391" s="11"/>
      <c r="O391" s="11"/>
      <c r="P391" s="11"/>
    </row>
    <row r="392">
      <c r="N392" s="11"/>
      <c r="O392" s="11"/>
      <c r="P392" s="11"/>
    </row>
    <row r="393">
      <c r="N393" s="11"/>
      <c r="O393" s="11"/>
      <c r="P393" s="11"/>
    </row>
    <row r="394">
      <c r="N394" s="11"/>
      <c r="O394" s="11"/>
      <c r="P394" s="11"/>
    </row>
    <row r="395">
      <c r="N395" s="11"/>
      <c r="O395" s="11"/>
      <c r="P395" s="11"/>
    </row>
    <row r="396">
      <c r="N396" s="11"/>
      <c r="O396" s="11"/>
      <c r="P396" s="11"/>
    </row>
    <row r="397">
      <c r="N397" s="11"/>
      <c r="O397" s="11"/>
      <c r="P397" s="11"/>
    </row>
    <row r="398">
      <c r="N398" s="11"/>
      <c r="O398" s="11"/>
      <c r="P398" s="11"/>
    </row>
    <row r="399">
      <c r="N399" s="11"/>
      <c r="O399" s="11"/>
      <c r="P399" s="11"/>
    </row>
    <row r="400">
      <c r="N400" s="11"/>
      <c r="O400" s="11"/>
      <c r="P400" s="11"/>
    </row>
    <row r="401">
      <c r="N401" s="11"/>
      <c r="O401" s="11"/>
      <c r="P401" s="11"/>
    </row>
    <row r="402">
      <c r="N402" s="11"/>
      <c r="O402" s="11"/>
      <c r="P402" s="11"/>
    </row>
    <row r="403">
      <c r="N403" s="11"/>
      <c r="O403" s="11"/>
      <c r="P403" s="11"/>
    </row>
    <row r="404">
      <c r="N404" s="11"/>
      <c r="O404" s="11"/>
      <c r="P404" s="11"/>
    </row>
    <row r="405">
      <c r="N405" s="11"/>
      <c r="O405" s="11"/>
      <c r="P405" s="11"/>
    </row>
    <row r="406">
      <c r="N406" s="11"/>
      <c r="O406" s="11"/>
      <c r="P406" s="11"/>
    </row>
    <row r="407">
      <c r="N407" s="11"/>
      <c r="O407" s="11"/>
      <c r="P407" s="11"/>
    </row>
    <row r="408">
      <c r="N408" s="11"/>
      <c r="O408" s="11"/>
      <c r="P408" s="11"/>
    </row>
    <row r="409">
      <c r="N409" s="11"/>
      <c r="O409" s="11"/>
      <c r="P409" s="11"/>
    </row>
    <row r="410">
      <c r="N410" s="11"/>
      <c r="O410" s="11"/>
      <c r="P410" s="11"/>
    </row>
    <row r="411">
      <c r="N411" s="11"/>
      <c r="O411" s="11"/>
      <c r="P411" s="11"/>
    </row>
    <row r="412">
      <c r="N412" s="11"/>
      <c r="O412" s="11"/>
      <c r="P412" s="11"/>
    </row>
    <row r="413">
      <c r="N413" s="11"/>
      <c r="O413" s="11"/>
      <c r="P413" s="11"/>
    </row>
    <row r="414">
      <c r="N414" s="11"/>
      <c r="O414" s="11"/>
      <c r="P414" s="11"/>
    </row>
    <row r="415">
      <c r="N415" s="11"/>
      <c r="O415" s="11"/>
      <c r="P415" s="11"/>
    </row>
    <row r="416">
      <c r="N416" s="11"/>
      <c r="O416" s="11"/>
      <c r="P416" s="11"/>
    </row>
    <row r="417">
      <c r="N417" s="11"/>
      <c r="O417" s="11"/>
      <c r="P417" s="11"/>
    </row>
    <row r="418">
      <c r="N418" s="11"/>
      <c r="O418" s="11"/>
      <c r="P418" s="11"/>
    </row>
    <row r="419">
      <c r="N419" s="11"/>
      <c r="O419" s="11"/>
      <c r="P419" s="11"/>
    </row>
    <row r="420">
      <c r="N420" s="11"/>
      <c r="O420" s="11"/>
      <c r="P420" s="11"/>
    </row>
    <row r="421">
      <c r="N421" s="11"/>
      <c r="O421" s="11"/>
      <c r="P421" s="11"/>
    </row>
    <row r="422">
      <c r="N422" s="11"/>
      <c r="O422" s="11"/>
      <c r="P422" s="11"/>
    </row>
    <row r="423">
      <c r="N423" s="11"/>
      <c r="O423" s="11"/>
      <c r="P423" s="11"/>
    </row>
    <row r="424">
      <c r="N424" s="11"/>
      <c r="O424" s="11"/>
      <c r="P424" s="11"/>
    </row>
    <row r="425">
      <c r="N425" s="11"/>
      <c r="O425" s="11"/>
      <c r="P425" s="11"/>
    </row>
    <row r="426">
      <c r="N426" s="11"/>
      <c r="O426" s="11"/>
      <c r="P426" s="11"/>
    </row>
    <row r="427">
      <c r="N427" s="11"/>
      <c r="O427" s="11"/>
      <c r="P427" s="11"/>
    </row>
    <row r="428">
      <c r="N428" s="11"/>
      <c r="O428" s="11"/>
      <c r="P428" s="11"/>
    </row>
    <row r="429">
      <c r="N429" s="11"/>
      <c r="O429" s="11"/>
      <c r="P429" s="11"/>
    </row>
    <row r="430">
      <c r="N430" s="11"/>
      <c r="O430" s="11"/>
      <c r="P430" s="11"/>
    </row>
    <row r="431">
      <c r="N431" s="11"/>
      <c r="O431" s="11"/>
      <c r="P431" s="11"/>
    </row>
    <row r="432">
      <c r="N432" s="11"/>
      <c r="O432" s="11"/>
      <c r="P432" s="11"/>
    </row>
    <row r="433">
      <c r="N433" s="11"/>
      <c r="O433" s="11"/>
      <c r="P433" s="11"/>
    </row>
    <row r="434">
      <c r="N434" s="11"/>
      <c r="O434" s="11"/>
      <c r="P434" s="11"/>
    </row>
    <row r="435">
      <c r="N435" s="11"/>
      <c r="O435" s="11"/>
      <c r="P435" s="11"/>
    </row>
    <row r="436">
      <c r="N436" s="11"/>
      <c r="O436" s="11"/>
      <c r="P436" s="11"/>
    </row>
    <row r="437">
      <c r="N437" s="11"/>
      <c r="O437" s="11"/>
      <c r="P437" s="11"/>
    </row>
    <row r="438">
      <c r="N438" s="11"/>
      <c r="O438" s="11"/>
      <c r="P438" s="11"/>
    </row>
    <row r="439">
      <c r="N439" s="11"/>
      <c r="O439" s="11"/>
      <c r="P439" s="11"/>
    </row>
    <row r="440">
      <c r="N440" s="11"/>
      <c r="O440" s="11"/>
      <c r="P440" s="11"/>
    </row>
    <row r="441">
      <c r="N441" s="11"/>
      <c r="O441" s="11"/>
      <c r="P441" s="11"/>
    </row>
    <row r="442">
      <c r="N442" s="11"/>
      <c r="O442" s="11"/>
      <c r="P442" s="11"/>
    </row>
    <row r="443">
      <c r="N443" s="11"/>
      <c r="O443" s="11"/>
      <c r="P443" s="11"/>
    </row>
    <row r="444">
      <c r="N444" s="11"/>
      <c r="O444" s="11"/>
      <c r="P444" s="11"/>
    </row>
    <row r="445">
      <c r="N445" s="11"/>
      <c r="O445" s="11"/>
      <c r="P445" s="11"/>
    </row>
    <row r="446">
      <c r="N446" s="11"/>
      <c r="O446" s="11"/>
      <c r="P446" s="11"/>
    </row>
    <row r="447">
      <c r="N447" s="11"/>
      <c r="O447" s="11"/>
      <c r="P447" s="11"/>
    </row>
    <row r="448">
      <c r="N448" s="11"/>
      <c r="O448" s="11"/>
      <c r="P448" s="11"/>
    </row>
    <row r="449">
      <c r="N449" s="11"/>
      <c r="O449" s="11"/>
      <c r="P449" s="11"/>
    </row>
    <row r="450">
      <c r="N450" s="11"/>
      <c r="O450" s="11"/>
      <c r="P450" s="11"/>
    </row>
    <row r="451">
      <c r="N451" s="11"/>
      <c r="O451" s="11"/>
      <c r="P451" s="11"/>
    </row>
    <row r="452">
      <c r="N452" s="11"/>
      <c r="O452" s="11"/>
      <c r="P452" s="11"/>
    </row>
    <row r="453">
      <c r="N453" s="11"/>
      <c r="O453" s="11"/>
      <c r="P453" s="11"/>
    </row>
    <row r="454">
      <c r="N454" s="11"/>
      <c r="O454" s="11"/>
      <c r="P454" s="11"/>
    </row>
    <row r="455">
      <c r="N455" s="11"/>
      <c r="O455" s="11"/>
      <c r="P455" s="11"/>
    </row>
    <row r="456">
      <c r="N456" s="11"/>
      <c r="O456" s="11"/>
      <c r="P456" s="11"/>
    </row>
    <row r="457">
      <c r="N457" s="11"/>
      <c r="O457" s="11"/>
      <c r="P457" s="11"/>
    </row>
    <row r="458">
      <c r="N458" s="11"/>
      <c r="O458" s="11"/>
      <c r="P458" s="11"/>
    </row>
    <row r="459">
      <c r="N459" s="11"/>
      <c r="O459" s="11"/>
      <c r="P459" s="11"/>
    </row>
    <row r="460">
      <c r="N460" s="11"/>
      <c r="O460" s="11"/>
      <c r="P460" s="11"/>
    </row>
    <row r="461">
      <c r="N461" s="11"/>
      <c r="O461" s="11"/>
      <c r="P461" s="11"/>
    </row>
    <row r="462">
      <c r="N462" s="11"/>
      <c r="O462" s="11"/>
      <c r="P462" s="11"/>
    </row>
    <row r="463">
      <c r="N463" s="11"/>
      <c r="O463" s="11"/>
      <c r="P463" s="11"/>
    </row>
    <row r="464">
      <c r="N464" s="11"/>
      <c r="O464" s="11"/>
      <c r="P464" s="11"/>
    </row>
    <row r="465">
      <c r="N465" s="11"/>
      <c r="O465" s="11"/>
      <c r="P465" s="11"/>
    </row>
    <row r="466">
      <c r="N466" s="11"/>
      <c r="O466" s="11"/>
      <c r="P466" s="11"/>
    </row>
    <row r="467">
      <c r="N467" s="11"/>
      <c r="O467" s="11"/>
      <c r="P467" s="11"/>
    </row>
    <row r="468">
      <c r="N468" s="11"/>
      <c r="O468" s="11"/>
      <c r="P468" s="11"/>
    </row>
    <row r="469">
      <c r="N469" s="11"/>
      <c r="O469" s="11"/>
      <c r="P469" s="11"/>
    </row>
    <row r="470">
      <c r="N470" s="11"/>
      <c r="O470" s="11"/>
      <c r="P470" s="11"/>
    </row>
    <row r="471">
      <c r="N471" s="11"/>
      <c r="O471" s="11"/>
      <c r="P471" s="11"/>
    </row>
    <row r="472">
      <c r="N472" s="11"/>
      <c r="O472" s="11"/>
      <c r="P472" s="11"/>
    </row>
    <row r="473">
      <c r="N473" s="11"/>
      <c r="O473" s="11"/>
      <c r="P473" s="11"/>
    </row>
    <row r="474">
      <c r="N474" s="11"/>
      <c r="O474" s="11"/>
      <c r="P474" s="11"/>
    </row>
    <row r="475">
      <c r="N475" s="11"/>
      <c r="O475" s="11"/>
      <c r="P475" s="11"/>
    </row>
    <row r="476">
      <c r="N476" s="11"/>
      <c r="O476" s="11"/>
      <c r="P476" s="11"/>
    </row>
    <row r="477">
      <c r="N477" s="11"/>
      <c r="O477" s="11"/>
      <c r="P477" s="11"/>
    </row>
    <row r="478">
      <c r="N478" s="11"/>
      <c r="O478" s="11"/>
      <c r="P478" s="11"/>
    </row>
    <row r="479">
      <c r="N479" s="11"/>
      <c r="O479" s="11"/>
      <c r="P479" s="11"/>
    </row>
    <row r="480">
      <c r="N480" s="11"/>
      <c r="O480" s="11"/>
      <c r="P480" s="11"/>
    </row>
    <row r="481">
      <c r="N481" s="11"/>
      <c r="O481" s="11"/>
      <c r="P481" s="11"/>
    </row>
    <row r="482">
      <c r="N482" s="11"/>
      <c r="O482" s="11"/>
      <c r="P482" s="11"/>
    </row>
    <row r="483">
      <c r="N483" s="11"/>
      <c r="O483" s="11"/>
      <c r="P483" s="11"/>
    </row>
    <row r="484">
      <c r="N484" s="11"/>
      <c r="O484" s="11"/>
      <c r="P484" s="11"/>
    </row>
    <row r="485">
      <c r="N485" s="11"/>
      <c r="O485" s="11"/>
      <c r="P485" s="11"/>
    </row>
    <row r="486">
      <c r="N486" s="11"/>
      <c r="O486" s="11"/>
      <c r="P486" s="11"/>
    </row>
    <row r="487">
      <c r="N487" s="11"/>
      <c r="O487" s="11"/>
      <c r="P487" s="11"/>
    </row>
    <row r="488">
      <c r="N488" s="11"/>
      <c r="O488" s="11"/>
      <c r="P488" s="11"/>
    </row>
    <row r="489">
      <c r="N489" s="11"/>
      <c r="O489" s="11"/>
      <c r="P489" s="11"/>
    </row>
    <row r="490">
      <c r="N490" s="11"/>
      <c r="O490" s="11"/>
      <c r="P490" s="11"/>
    </row>
    <row r="491">
      <c r="N491" s="11"/>
      <c r="O491" s="11"/>
      <c r="P491" s="11"/>
    </row>
    <row r="492">
      <c r="N492" s="11"/>
      <c r="O492" s="11"/>
      <c r="P492" s="11"/>
    </row>
    <row r="493">
      <c r="N493" s="11"/>
      <c r="O493" s="11"/>
      <c r="P493" s="11"/>
    </row>
    <row r="494">
      <c r="N494" s="11"/>
      <c r="O494" s="11"/>
      <c r="P494" s="11"/>
    </row>
    <row r="495">
      <c r="N495" s="11"/>
      <c r="O495" s="11"/>
      <c r="P495" s="11"/>
    </row>
    <row r="496">
      <c r="N496" s="11"/>
      <c r="O496" s="11"/>
      <c r="P496" s="11"/>
    </row>
    <row r="497">
      <c r="N497" s="11"/>
      <c r="O497" s="11"/>
      <c r="P497" s="11"/>
    </row>
    <row r="498">
      <c r="N498" s="11"/>
      <c r="O498" s="11"/>
      <c r="P498" s="11"/>
    </row>
    <row r="499">
      <c r="N499" s="11"/>
      <c r="O499" s="11"/>
      <c r="P499" s="11"/>
    </row>
    <row r="500">
      <c r="N500" s="11"/>
      <c r="O500" s="11"/>
      <c r="P500" s="11"/>
    </row>
    <row r="501">
      <c r="N501" s="11"/>
      <c r="O501" s="11"/>
      <c r="P501" s="11"/>
    </row>
    <row r="502">
      <c r="N502" s="11"/>
      <c r="O502" s="11"/>
      <c r="P502" s="11"/>
    </row>
    <row r="503">
      <c r="N503" s="11"/>
      <c r="O503" s="11"/>
      <c r="P503" s="11"/>
    </row>
    <row r="504">
      <c r="N504" s="11"/>
      <c r="O504" s="11"/>
      <c r="P504" s="11"/>
    </row>
    <row r="505">
      <c r="N505" s="11"/>
      <c r="O505" s="11"/>
      <c r="P505" s="11"/>
    </row>
    <row r="506">
      <c r="N506" s="11"/>
      <c r="O506" s="11"/>
      <c r="P506" s="11"/>
    </row>
    <row r="507">
      <c r="N507" s="11"/>
      <c r="O507" s="11"/>
      <c r="P507" s="11"/>
    </row>
    <row r="508">
      <c r="N508" s="11"/>
      <c r="O508" s="11"/>
      <c r="P508" s="11"/>
    </row>
    <row r="509">
      <c r="N509" s="11"/>
      <c r="O509" s="11"/>
      <c r="P509" s="11"/>
    </row>
    <row r="510">
      <c r="N510" s="11"/>
      <c r="O510" s="11"/>
      <c r="P510" s="11"/>
    </row>
    <row r="511">
      <c r="N511" s="11"/>
      <c r="O511" s="11"/>
      <c r="P511" s="11"/>
    </row>
    <row r="512">
      <c r="N512" s="11"/>
      <c r="O512" s="11"/>
      <c r="P512" s="11"/>
    </row>
    <row r="513">
      <c r="N513" s="11"/>
      <c r="O513" s="11"/>
      <c r="P513" s="11"/>
    </row>
    <row r="514">
      <c r="N514" s="11"/>
      <c r="O514" s="11"/>
      <c r="P514" s="11"/>
    </row>
    <row r="515">
      <c r="N515" s="11"/>
      <c r="O515" s="11"/>
      <c r="P515" s="11"/>
    </row>
    <row r="516">
      <c r="N516" s="11"/>
      <c r="O516" s="11"/>
      <c r="P516" s="11"/>
    </row>
    <row r="517">
      <c r="N517" s="11"/>
      <c r="O517" s="11"/>
      <c r="P517" s="11"/>
    </row>
    <row r="518">
      <c r="N518" s="11"/>
      <c r="O518" s="11"/>
      <c r="P518" s="11"/>
    </row>
    <row r="519">
      <c r="N519" s="11"/>
      <c r="O519" s="11"/>
      <c r="P519" s="11"/>
    </row>
    <row r="520">
      <c r="N520" s="11"/>
      <c r="O520" s="11"/>
      <c r="P520" s="11"/>
    </row>
    <row r="521">
      <c r="N521" s="11"/>
      <c r="O521" s="11"/>
      <c r="P521" s="11"/>
    </row>
    <row r="522">
      <c r="N522" s="11"/>
      <c r="O522" s="11"/>
      <c r="P522" s="11"/>
    </row>
    <row r="523">
      <c r="N523" s="11"/>
      <c r="O523" s="11"/>
      <c r="P523" s="11"/>
    </row>
    <row r="524">
      <c r="N524" s="11"/>
      <c r="O524" s="11"/>
      <c r="P524" s="11"/>
    </row>
    <row r="525">
      <c r="N525" s="11"/>
      <c r="O525" s="11"/>
      <c r="P525" s="11"/>
    </row>
    <row r="526">
      <c r="N526" s="11"/>
      <c r="O526" s="11"/>
      <c r="P526" s="11"/>
    </row>
    <row r="527">
      <c r="N527" s="11"/>
      <c r="O527" s="11"/>
      <c r="P527" s="11"/>
    </row>
    <row r="528">
      <c r="N528" s="11"/>
      <c r="O528" s="11"/>
      <c r="P528" s="11"/>
    </row>
    <row r="529">
      <c r="N529" s="11"/>
      <c r="O529" s="11"/>
      <c r="P529" s="11"/>
    </row>
    <row r="530">
      <c r="N530" s="11"/>
      <c r="O530" s="11"/>
      <c r="P530" s="11"/>
    </row>
    <row r="531">
      <c r="N531" s="11"/>
      <c r="O531" s="11"/>
      <c r="P531" s="11"/>
    </row>
    <row r="532">
      <c r="N532" s="11"/>
      <c r="O532" s="11"/>
      <c r="P532" s="11"/>
    </row>
    <row r="533">
      <c r="N533" s="11"/>
      <c r="O533" s="11"/>
      <c r="P533" s="11"/>
    </row>
    <row r="534">
      <c r="N534" s="11"/>
      <c r="O534" s="11"/>
      <c r="P534" s="11"/>
    </row>
    <row r="535">
      <c r="N535" s="11"/>
      <c r="O535" s="11"/>
      <c r="P535" s="11"/>
    </row>
    <row r="536">
      <c r="N536" s="11"/>
      <c r="O536" s="11"/>
      <c r="P536" s="11"/>
    </row>
    <row r="537">
      <c r="N537" s="11"/>
      <c r="O537" s="11"/>
      <c r="P537" s="11"/>
    </row>
    <row r="538">
      <c r="N538" s="11"/>
      <c r="O538" s="11"/>
      <c r="P538" s="11"/>
    </row>
    <row r="539">
      <c r="N539" s="11"/>
      <c r="O539" s="11"/>
      <c r="P539" s="11"/>
    </row>
    <row r="540">
      <c r="N540" s="11"/>
      <c r="O540" s="11"/>
      <c r="P540" s="11"/>
    </row>
    <row r="541">
      <c r="N541" s="11"/>
      <c r="O541" s="11"/>
      <c r="P541" s="11"/>
    </row>
    <row r="542">
      <c r="N542" s="11"/>
      <c r="O542" s="11"/>
      <c r="P542" s="11"/>
    </row>
    <row r="543">
      <c r="N543" s="11"/>
      <c r="O543" s="11"/>
      <c r="P543" s="11"/>
    </row>
    <row r="544">
      <c r="N544" s="11"/>
      <c r="O544" s="11"/>
      <c r="P544" s="11"/>
    </row>
    <row r="545">
      <c r="N545" s="11"/>
      <c r="O545" s="11"/>
      <c r="P545" s="11"/>
    </row>
    <row r="546">
      <c r="N546" s="11"/>
      <c r="O546" s="11"/>
      <c r="P546" s="11"/>
    </row>
    <row r="547">
      <c r="N547" s="11"/>
      <c r="O547" s="11"/>
      <c r="P547" s="11"/>
    </row>
    <row r="548">
      <c r="N548" s="11"/>
      <c r="O548" s="11"/>
      <c r="P548" s="11"/>
    </row>
    <row r="549">
      <c r="N549" s="11"/>
      <c r="O549" s="11"/>
      <c r="P549" s="11"/>
    </row>
    <row r="550">
      <c r="N550" s="11"/>
      <c r="O550" s="11"/>
      <c r="P550" s="11"/>
    </row>
    <row r="551">
      <c r="N551" s="11"/>
      <c r="O551" s="11"/>
      <c r="P551" s="11"/>
    </row>
    <row r="552">
      <c r="N552" s="11"/>
      <c r="O552" s="11"/>
      <c r="P552" s="11"/>
    </row>
    <row r="553">
      <c r="N553" s="11"/>
      <c r="O553" s="11"/>
      <c r="P553" s="11"/>
    </row>
    <row r="554">
      <c r="N554" s="11"/>
      <c r="O554" s="11"/>
      <c r="P554" s="11"/>
    </row>
    <row r="555">
      <c r="N555" s="11"/>
      <c r="O555" s="11"/>
      <c r="P555" s="11"/>
    </row>
    <row r="556">
      <c r="N556" s="11"/>
      <c r="O556" s="11"/>
      <c r="P556" s="11"/>
    </row>
    <row r="557">
      <c r="N557" s="11"/>
      <c r="O557" s="11"/>
      <c r="P557" s="11"/>
    </row>
    <row r="558">
      <c r="N558" s="11"/>
      <c r="O558" s="11"/>
      <c r="P558" s="11"/>
    </row>
    <row r="559">
      <c r="N559" s="11"/>
      <c r="O559" s="11"/>
      <c r="P559" s="11"/>
    </row>
    <row r="560">
      <c r="N560" s="11"/>
      <c r="O560" s="11"/>
      <c r="P560" s="11"/>
    </row>
    <row r="561">
      <c r="N561" s="11"/>
      <c r="O561" s="11"/>
      <c r="P561" s="11"/>
    </row>
    <row r="562">
      <c r="N562" s="11"/>
      <c r="O562" s="11"/>
      <c r="P562" s="11"/>
    </row>
    <row r="563">
      <c r="N563" s="11"/>
      <c r="O563" s="11"/>
      <c r="P563" s="11"/>
    </row>
    <row r="564">
      <c r="N564" s="11"/>
      <c r="O564" s="11"/>
      <c r="P564" s="11"/>
    </row>
    <row r="565">
      <c r="N565" s="11"/>
      <c r="O565" s="11"/>
      <c r="P565" s="11"/>
    </row>
    <row r="566">
      <c r="N566" s="11"/>
      <c r="O566" s="11"/>
      <c r="P566" s="11"/>
    </row>
    <row r="567">
      <c r="N567" s="11"/>
      <c r="O567" s="11"/>
      <c r="P567" s="11"/>
    </row>
    <row r="568">
      <c r="N568" s="11"/>
      <c r="O568" s="11"/>
      <c r="P568" s="11"/>
    </row>
    <row r="569">
      <c r="N569" s="11"/>
      <c r="O569" s="11"/>
      <c r="P569" s="11"/>
    </row>
    <row r="570">
      <c r="N570" s="11"/>
      <c r="O570" s="11"/>
      <c r="P570" s="11"/>
    </row>
    <row r="571">
      <c r="N571" s="11"/>
      <c r="O571" s="11"/>
      <c r="P571" s="11"/>
    </row>
    <row r="572">
      <c r="N572" s="11"/>
      <c r="O572" s="11"/>
      <c r="P572" s="11"/>
    </row>
    <row r="573">
      <c r="N573" s="11"/>
      <c r="O573" s="11"/>
      <c r="P573" s="11"/>
    </row>
    <row r="574">
      <c r="N574" s="11"/>
      <c r="O574" s="11"/>
      <c r="P574" s="11"/>
    </row>
  </sheetData>
  <dataValidations>
    <dataValidation type="custom" allowBlank="1" showDropDown="1" sqref="A2:A63">
      <formula1>OR(NOT(ISERROR(DATEVALUE(A2))), AND(ISNUMBER(A2), LEFT(CELL("format", A2))="D"))</formula1>
    </dataValidation>
    <dataValidation type="custom" allowBlank="1" showDropDown="1" sqref="J68:J79">
      <formula1>AND(ISNUMBER(J68),(NOT(OR(NOT(ISERROR(DATEVALUE(J68))), AND(ISNUMBER(J68), LEFT(CELL("format", J68))="D")))))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8" max="8" width="15.38"/>
  </cols>
  <sheetData>
    <row r="1" ht="22.5" customHeight="1">
      <c r="A1" s="8" t="s">
        <v>26</v>
      </c>
      <c r="B1" s="8" t="s">
        <v>27</v>
      </c>
      <c r="C1" s="10" t="s">
        <v>28</v>
      </c>
      <c r="D1" s="10" t="s">
        <v>29</v>
      </c>
      <c r="E1" s="10" t="s">
        <v>30</v>
      </c>
      <c r="F1" s="10" t="s">
        <v>31</v>
      </c>
      <c r="G1" s="10" t="s">
        <v>32</v>
      </c>
      <c r="H1" s="10" t="s">
        <v>33</v>
      </c>
      <c r="I1" s="10" t="s">
        <v>34</v>
      </c>
      <c r="J1" s="10" t="s">
        <v>35</v>
      </c>
      <c r="K1" s="10" t="s">
        <v>36</v>
      </c>
      <c r="L1" s="10" t="s">
        <v>37</v>
      </c>
      <c r="M1" s="10" t="s">
        <v>38</v>
      </c>
    </row>
    <row r="2" ht="22.5" customHeight="1">
      <c r="A2" s="123">
        <v>45717.0</v>
      </c>
      <c r="B2" s="124">
        <v>0.0</v>
      </c>
      <c r="C2" s="125">
        <v>0.0</v>
      </c>
      <c r="D2" s="125">
        <v>0.0</v>
      </c>
      <c r="E2" s="125">
        <v>0.0</v>
      </c>
      <c r="F2" s="126">
        <v>40.0</v>
      </c>
      <c r="G2" s="125">
        <v>0.0</v>
      </c>
      <c r="H2" s="125">
        <v>0.0</v>
      </c>
      <c r="I2" s="125">
        <v>0.0</v>
      </c>
      <c r="J2" s="125">
        <v>0.0</v>
      </c>
      <c r="K2" s="125">
        <v>0.0</v>
      </c>
      <c r="L2" s="125">
        <v>0.0</v>
      </c>
      <c r="M2" s="125">
        <v>0.0</v>
      </c>
    </row>
    <row r="3" ht="22.5" customHeight="1">
      <c r="A3" s="123">
        <v>45718.0</v>
      </c>
      <c r="B3" s="124">
        <v>0.0</v>
      </c>
      <c r="C3" s="125">
        <v>0.0</v>
      </c>
      <c r="D3" s="125">
        <v>0.0</v>
      </c>
      <c r="E3" s="125">
        <v>0.0</v>
      </c>
      <c r="F3" s="126">
        <v>40.0</v>
      </c>
      <c r="G3" s="125">
        <v>0.0</v>
      </c>
      <c r="H3" s="125">
        <v>0.0</v>
      </c>
      <c r="I3" s="125">
        <v>0.0</v>
      </c>
      <c r="J3" s="125">
        <v>0.0</v>
      </c>
      <c r="K3" s="125">
        <v>0.0</v>
      </c>
      <c r="L3" s="125">
        <v>0.0</v>
      </c>
      <c r="M3" s="125">
        <v>0.0</v>
      </c>
    </row>
    <row r="4" ht="22.5" customHeight="1">
      <c r="A4" s="123">
        <v>45719.0</v>
      </c>
      <c r="B4" s="124">
        <v>0.0</v>
      </c>
      <c r="C4" s="125">
        <v>0.0</v>
      </c>
      <c r="D4" s="125">
        <v>0.0</v>
      </c>
      <c r="E4" s="125">
        <v>0.0</v>
      </c>
      <c r="F4" s="126">
        <v>40.0</v>
      </c>
      <c r="G4" s="125">
        <v>0.0</v>
      </c>
      <c r="H4" s="125">
        <v>0.0</v>
      </c>
      <c r="I4" s="125">
        <v>0.0</v>
      </c>
      <c r="J4" s="125">
        <v>0.0</v>
      </c>
      <c r="K4" s="125">
        <v>0.0</v>
      </c>
      <c r="L4" s="125">
        <v>0.0</v>
      </c>
      <c r="M4" s="125">
        <v>0.0</v>
      </c>
    </row>
    <row r="5" ht="22.5" customHeight="1">
      <c r="A5" s="123">
        <v>45720.0</v>
      </c>
      <c r="B5" s="124">
        <v>0.0</v>
      </c>
      <c r="C5" s="125">
        <v>0.0</v>
      </c>
      <c r="D5" s="125">
        <v>0.0</v>
      </c>
      <c r="E5" s="125">
        <v>0.0</v>
      </c>
      <c r="F5" s="126">
        <v>30.0</v>
      </c>
      <c r="G5" s="125">
        <v>0.0</v>
      </c>
      <c r="H5" s="125">
        <v>0.0</v>
      </c>
      <c r="I5" s="125">
        <v>0.0</v>
      </c>
      <c r="J5" s="125">
        <v>0.0</v>
      </c>
      <c r="K5" s="125">
        <v>0.0</v>
      </c>
      <c r="L5" s="125">
        <v>0.0</v>
      </c>
      <c r="M5" s="125">
        <v>0.0</v>
      </c>
    </row>
    <row r="6" ht="22.5" customHeight="1">
      <c r="A6" s="123">
        <v>45721.0</v>
      </c>
      <c r="B6" s="124">
        <v>0.0</v>
      </c>
      <c r="C6" s="125">
        <v>0.0</v>
      </c>
      <c r="D6" s="125">
        <v>0.0</v>
      </c>
      <c r="E6" s="125">
        <v>0.0</v>
      </c>
      <c r="F6" s="126">
        <v>30.0</v>
      </c>
      <c r="G6" s="125">
        <v>0.0</v>
      </c>
      <c r="H6" s="125">
        <v>0.0</v>
      </c>
      <c r="I6" s="125">
        <v>0.0</v>
      </c>
      <c r="J6" s="125">
        <v>0.0</v>
      </c>
      <c r="K6" s="125">
        <v>0.0</v>
      </c>
      <c r="L6" s="125">
        <v>0.0</v>
      </c>
      <c r="M6" s="125">
        <v>0.0</v>
      </c>
    </row>
    <row r="7" ht="22.5" customHeight="1">
      <c r="A7" s="123">
        <v>45722.0</v>
      </c>
      <c r="B7" s="124">
        <v>0.0</v>
      </c>
      <c r="C7" s="125">
        <v>0.0</v>
      </c>
      <c r="D7" s="125">
        <v>0.0</v>
      </c>
      <c r="E7" s="125">
        <v>0.0</v>
      </c>
      <c r="F7" s="126">
        <v>50.0</v>
      </c>
      <c r="G7" s="125">
        <v>0.0</v>
      </c>
      <c r="H7" s="125">
        <v>0.0</v>
      </c>
      <c r="I7" s="125">
        <v>0.0</v>
      </c>
      <c r="J7" s="125">
        <v>0.0</v>
      </c>
      <c r="K7" s="125">
        <v>0.0</v>
      </c>
      <c r="L7" s="125">
        <v>0.0</v>
      </c>
      <c r="M7" s="125">
        <v>0.0</v>
      </c>
    </row>
    <row r="8" ht="22.5" customHeight="1">
      <c r="A8" s="123">
        <v>45723.0</v>
      </c>
      <c r="B8" s="124">
        <v>400.0</v>
      </c>
      <c r="C8" s="125">
        <v>0.0</v>
      </c>
      <c r="D8" s="125">
        <v>0.0</v>
      </c>
      <c r="E8" s="125">
        <v>0.0</v>
      </c>
      <c r="F8" s="126">
        <v>32.0</v>
      </c>
      <c r="G8" s="125">
        <v>0.0</v>
      </c>
      <c r="H8" s="125">
        <v>0.0</v>
      </c>
      <c r="I8" s="126">
        <v>25.0</v>
      </c>
      <c r="J8" s="125">
        <v>0.0</v>
      </c>
      <c r="K8" s="125">
        <v>0.0</v>
      </c>
      <c r="L8" s="125">
        <v>0.0</v>
      </c>
      <c r="M8" s="125">
        <v>0.0</v>
      </c>
    </row>
    <row r="9" ht="22.5" customHeight="1">
      <c r="A9" s="123">
        <v>45724.0</v>
      </c>
      <c r="B9" s="124">
        <v>0.0</v>
      </c>
      <c r="C9" s="125">
        <v>0.0</v>
      </c>
      <c r="D9" s="125">
        <v>0.0</v>
      </c>
      <c r="E9" s="125">
        <v>0.0</v>
      </c>
      <c r="F9" s="126">
        <v>30.0</v>
      </c>
      <c r="G9" s="125">
        <v>0.0</v>
      </c>
      <c r="H9" s="125">
        <v>0.0</v>
      </c>
      <c r="I9" s="125">
        <v>0.0</v>
      </c>
      <c r="J9" s="125">
        <v>0.0</v>
      </c>
      <c r="K9" s="125">
        <v>0.0</v>
      </c>
      <c r="L9" s="126">
        <v>80.0</v>
      </c>
      <c r="M9" s="126">
        <v>80.0</v>
      </c>
    </row>
    <row r="10" ht="22.5" customHeight="1">
      <c r="A10" s="123">
        <v>45725.0</v>
      </c>
      <c r="B10" s="124">
        <v>0.0</v>
      </c>
      <c r="C10" s="125">
        <v>0.0</v>
      </c>
      <c r="D10" s="125">
        <v>0.0</v>
      </c>
      <c r="E10" s="125">
        <v>600.0</v>
      </c>
      <c r="F10" s="126">
        <v>50.0</v>
      </c>
      <c r="G10" s="125">
        <v>0.0</v>
      </c>
      <c r="H10" s="125">
        <v>60.0</v>
      </c>
      <c r="I10" s="126">
        <v>0.0</v>
      </c>
      <c r="J10" s="126">
        <v>0.0</v>
      </c>
      <c r="K10" s="125">
        <v>0.0</v>
      </c>
      <c r="L10" s="125">
        <v>0.0</v>
      </c>
      <c r="M10" s="125">
        <v>0.0</v>
      </c>
    </row>
    <row r="11" ht="22.5" customHeight="1">
      <c r="A11" s="123">
        <v>45726.0</v>
      </c>
      <c r="B11" s="124">
        <v>0.0</v>
      </c>
      <c r="C11" s="125">
        <v>0.0</v>
      </c>
      <c r="D11" s="126">
        <v>0.0</v>
      </c>
      <c r="E11" s="125">
        <v>0.0</v>
      </c>
      <c r="F11" s="126">
        <v>60.0</v>
      </c>
      <c r="G11" s="125">
        <v>0.0</v>
      </c>
      <c r="H11" s="125">
        <v>0.0</v>
      </c>
      <c r="I11" s="125">
        <v>0.0</v>
      </c>
      <c r="J11" s="125">
        <v>0.0</v>
      </c>
      <c r="K11" s="126">
        <v>200.0</v>
      </c>
      <c r="L11" s="125">
        <v>0.0</v>
      </c>
      <c r="M11" s="125">
        <v>0.0</v>
      </c>
    </row>
    <row r="12" ht="22.5" customHeight="1">
      <c r="A12" s="123">
        <v>45727.0</v>
      </c>
      <c r="B12" s="124">
        <v>0.0</v>
      </c>
      <c r="C12" s="125">
        <v>0.0</v>
      </c>
      <c r="D12" s="125">
        <v>0.0</v>
      </c>
      <c r="E12" s="125">
        <v>0.0</v>
      </c>
      <c r="F12" s="126">
        <v>60.0</v>
      </c>
      <c r="G12" s="125">
        <v>0.0</v>
      </c>
      <c r="H12" s="125">
        <v>0.0</v>
      </c>
      <c r="I12" s="125">
        <v>0.0</v>
      </c>
      <c r="J12" s="125">
        <v>0.0</v>
      </c>
      <c r="K12" s="125">
        <v>0.0</v>
      </c>
      <c r="L12" s="125">
        <v>0.0</v>
      </c>
      <c r="M12" s="125">
        <v>0.0</v>
      </c>
    </row>
    <row r="13" ht="22.5" customHeight="1">
      <c r="A13" s="123">
        <v>45728.0</v>
      </c>
      <c r="B13" s="124">
        <v>0.0</v>
      </c>
      <c r="C13" s="126">
        <v>800.0</v>
      </c>
      <c r="D13" s="125">
        <v>0.0</v>
      </c>
      <c r="E13" s="125">
        <v>0.0</v>
      </c>
      <c r="F13" s="126">
        <v>40.0</v>
      </c>
      <c r="G13" s="125">
        <v>0.0</v>
      </c>
      <c r="H13" s="125">
        <v>0.0</v>
      </c>
      <c r="I13" s="125">
        <v>0.0</v>
      </c>
      <c r="J13" s="125">
        <v>0.0</v>
      </c>
      <c r="K13" s="125">
        <v>0.0</v>
      </c>
      <c r="L13" s="125">
        <v>0.0</v>
      </c>
      <c r="M13" s="125">
        <v>0.0</v>
      </c>
    </row>
    <row r="14" ht="22.5" customHeight="1">
      <c r="A14" s="123">
        <v>45729.0</v>
      </c>
      <c r="B14" s="124">
        <v>0.0</v>
      </c>
      <c r="C14" s="125">
        <v>0.0</v>
      </c>
      <c r="D14" s="125">
        <v>0.0</v>
      </c>
      <c r="E14" s="125">
        <v>0.0</v>
      </c>
      <c r="F14" s="126">
        <v>30.0</v>
      </c>
      <c r="G14" s="125">
        <v>0.0</v>
      </c>
      <c r="H14" s="125">
        <v>0.0</v>
      </c>
      <c r="I14" s="125">
        <v>0.0</v>
      </c>
      <c r="J14" s="125">
        <v>0.0</v>
      </c>
      <c r="K14" s="125">
        <v>0.0</v>
      </c>
      <c r="L14" s="125">
        <v>0.0</v>
      </c>
      <c r="M14" s="125">
        <v>0.0</v>
      </c>
    </row>
    <row r="15" ht="22.5" customHeight="1">
      <c r="A15" s="123">
        <v>45730.0</v>
      </c>
      <c r="B15" s="124">
        <v>0.0</v>
      </c>
      <c r="C15" s="125">
        <v>0.0</v>
      </c>
      <c r="D15" s="126">
        <v>500.0</v>
      </c>
      <c r="E15" s="125">
        <v>0.0</v>
      </c>
      <c r="F15" s="126">
        <v>40.0</v>
      </c>
      <c r="G15" s="125">
        <v>0.0</v>
      </c>
      <c r="H15" s="125">
        <v>60.0</v>
      </c>
      <c r="I15" s="126">
        <v>0.0</v>
      </c>
      <c r="J15" s="126">
        <v>30.0</v>
      </c>
      <c r="K15" s="125">
        <v>0.0</v>
      </c>
      <c r="L15" s="125">
        <v>0.0</v>
      </c>
      <c r="M15" s="125">
        <v>0.0</v>
      </c>
    </row>
    <row r="16" ht="22.5" customHeight="1">
      <c r="A16" s="123">
        <v>45731.0</v>
      </c>
      <c r="B16" s="124">
        <v>0.0</v>
      </c>
      <c r="C16" s="125">
        <v>0.0</v>
      </c>
      <c r="D16" s="126">
        <v>0.0</v>
      </c>
      <c r="E16" s="126">
        <v>0.0</v>
      </c>
      <c r="F16" s="126">
        <v>50.0</v>
      </c>
      <c r="G16" s="125">
        <v>0.0</v>
      </c>
      <c r="H16" s="125">
        <v>0.0</v>
      </c>
      <c r="I16" s="126">
        <v>0.0</v>
      </c>
      <c r="J16" s="125">
        <v>0.0</v>
      </c>
      <c r="K16" s="126">
        <v>0.0</v>
      </c>
      <c r="L16" s="125">
        <v>0.0</v>
      </c>
      <c r="M16" s="125">
        <v>0.0</v>
      </c>
    </row>
    <row r="17" ht="22.5" customHeight="1">
      <c r="A17" s="123">
        <v>45732.0</v>
      </c>
      <c r="B17" s="124">
        <v>0.0</v>
      </c>
      <c r="C17" s="125">
        <v>0.0</v>
      </c>
      <c r="D17" s="125">
        <v>0.0</v>
      </c>
      <c r="E17" s="125">
        <v>0.0</v>
      </c>
      <c r="F17" s="126">
        <v>45.0</v>
      </c>
      <c r="G17" s="125">
        <v>0.0</v>
      </c>
      <c r="H17" s="125">
        <v>0.0</v>
      </c>
      <c r="I17" s="126">
        <v>0.0</v>
      </c>
      <c r="J17" s="126">
        <v>0.0</v>
      </c>
      <c r="K17" s="125">
        <v>0.0</v>
      </c>
      <c r="L17" s="125">
        <v>0.0</v>
      </c>
      <c r="M17" s="125">
        <v>0.0</v>
      </c>
    </row>
    <row r="18" ht="22.5" customHeight="1">
      <c r="A18" s="123">
        <v>45733.0</v>
      </c>
      <c r="B18" s="124">
        <v>0.0</v>
      </c>
      <c r="C18" s="125">
        <v>0.0</v>
      </c>
      <c r="D18" s="125">
        <v>0.0</v>
      </c>
      <c r="E18" s="125">
        <v>0.0</v>
      </c>
      <c r="F18" s="126">
        <v>40.0</v>
      </c>
      <c r="G18" s="125">
        <v>0.0</v>
      </c>
      <c r="H18" s="125">
        <v>0.0</v>
      </c>
      <c r="I18" s="125">
        <v>0.0</v>
      </c>
      <c r="J18" s="125">
        <v>0.0</v>
      </c>
      <c r="K18" s="125">
        <v>0.0</v>
      </c>
      <c r="L18" s="125">
        <v>0.0</v>
      </c>
      <c r="M18" s="125">
        <v>0.0</v>
      </c>
    </row>
    <row r="19" ht="22.5" customHeight="1">
      <c r="A19" s="123">
        <v>45734.0</v>
      </c>
      <c r="B19" s="124">
        <v>0.0</v>
      </c>
      <c r="C19" s="125">
        <v>0.0</v>
      </c>
      <c r="D19" s="125">
        <v>0.0</v>
      </c>
      <c r="E19" s="125">
        <v>0.0</v>
      </c>
      <c r="F19" s="126">
        <v>40.0</v>
      </c>
      <c r="G19" s="125">
        <v>0.0</v>
      </c>
      <c r="H19" s="125">
        <v>0.0</v>
      </c>
      <c r="I19" s="125">
        <v>0.0</v>
      </c>
      <c r="J19" s="125">
        <v>0.0</v>
      </c>
      <c r="K19" s="126">
        <v>200.0</v>
      </c>
      <c r="L19" s="125">
        <v>0.0</v>
      </c>
      <c r="M19" s="125">
        <v>0.0</v>
      </c>
    </row>
    <row r="20" ht="22.5" customHeight="1">
      <c r="A20" s="123">
        <v>45735.0</v>
      </c>
      <c r="B20" s="124">
        <v>0.0</v>
      </c>
      <c r="C20" s="126">
        <v>0.0</v>
      </c>
      <c r="D20" s="125">
        <v>0.0</v>
      </c>
      <c r="E20" s="125">
        <v>0.0</v>
      </c>
      <c r="F20" s="126">
        <v>40.0</v>
      </c>
      <c r="G20" s="125">
        <v>0.0</v>
      </c>
      <c r="H20" s="125">
        <v>0.0</v>
      </c>
      <c r="I20" s="126">
        <v>25.0</v>
      </c>
      <c r="J20" s="125">
        <v>0.0</v>
      </c>
      <c r="K20" s="125">
        <v>0.0</v>
      </c>
      <c r="L20" s="125">
        <v>0.0</v>
      </c>
      <c r="M20" s="125">
        <v>0.0</v>
      </c>
    </row>
    <row r="21" ht="22.5" customHeight="1">
      <c r="A21" s="123">
        <v>45736.0</v>
      </c>
      <c r="B21" s="124">
        <v>0.0</v>
      </c>
      <c r="C21" s="125">
        <v>0.0</v>
      </c>
      <c r="D21" s="125">
        <v>0.0</v>
      </c>
      <c r="E21" s="125">
        <v>0.0</v>
      </c>
      <c r="F21" s="126">
        <v>40.0</v>
      </c>
      <c r="G21" s="125">
        <v>0.0</v>
      </c>
      <c r="H21" s="125">
        <v>60.0</v>
      </c>
      <c r="I21" s="126">
        <v>0.0</v>
      </c>
      <c r="J21" s="126">
        <v>0.0</v>
      </c>
      <c r="K21" s="125">
        <v>0.0</v>
      </c>
      <c r="L21" s="125">
        <v>0.0</v>
      </c>
      <c r="M21" s="125">
        <v>0.0</v>
      </c>
    </row>
    <row r="22" ht="22.5" customHeight="1">
      <c r="A22" s="123">
        <v>45737.0</v>
      </c>
      <c r="B22" s="124">
        <v>400.0</v>
      </c>
      <c r="C22" s="125">
        <v>0.0</v>
      </c>
      <c r="D22" s="125">
        <v>0.0</v>
      </c>
      <c r="E22" s="125">
        <v>0.0</v>
      </c>
      <c r="F22" s="126">
        <v>40.0</v>
      </c>
      <c r="G22" s="125">
        <v>200.0</v>
      </c>
      <c r="H22" s="125">
        <v>0.0</v>
      </c>
      <c r="I22" s="125">
        <v>0.0</v>
      </c>
      <c r="J22" s="125">
        <v>0.0</v>
      </c>
      <c r="K22" s="125">
        <v>0.0</v>
      </c>
      <c r="L22" s="125">
        <v>0.0</v>
      </c>
      <c r="M22" s="125">
        <v>0.0</v>
      </c>
    </row>
    <row r="23" ht="22.5" customHeight="1">
      <c r="A23" s="123">
        <v>45738.0</v>
      </c>
      <c r="B23" s="124">
        <v>0.0</v>
      </c>
      <c r="C23" s="125">
        <v>0.0</v>
      </c>
      <c r="D23" s="126">
        <v>0.0</v>
      </c>
      <c r="E23" s="125">
        <v>0.0</v>
      </c>
      <c r="F23" s="126">
        <v>40.0</v>
      </c>
      <c r="G23" s="125">
        <v>0.0</v>
      </c>
      <c r="H23" s="125">
        <v>0.0</v>
      </c>
      <c r="I23" s="126">
        <v>0.0</v>
      </c>
      <c r="J23" s="125">
        <v>0.0</v>
      </c>
      <c r="K23" s="125">
        <v>0.0</v>
      </c>
      <c r="L23" s="125">
        <v>0.0</v>
      </c>
      <c r="M23" s="125">
        <v>0.0</v>
      </c>
    </row>
    <row r="24" ht="22.5" customHeight="1">
      <c r="A24" s="123">
        <v>45739.0</v>
      </c>
      <c r="B24" s="124">
        <v>0.0</v>
      </c>
      <c r="C24" s="125">
        <v>0.0</v>
      </c>
      <c r="D24" s="126">
        <v>500.0</v>
      </c>
      <c r="E24" s="125">
        <v>0.0</v>
      </c>
      <c r="F24" s="126">
        <v>40.0</v>
      </c>
      <c r="G24" s="125">
        <v>0.0</v>
      </c>
      <c r="H24" s="125">
        <v>0.0</v>
      </c>
      <c r="I24" s="126">
        <v>0.0</v>
      </c>
      <c r="J24" s="125">
        <v>0.0</v>
      </c>
      <c r="K24" s="125">
        <v>0.0</v>
      </c>
      <c r="L24" s="125">
        <v>0.0</v>
      </c>
      <c r="M24" s="125">
        <v>0.0</v>
      </c>
    </row>
    <row r="25" ht="22.5" customHeight="1">
      <c r="A25" s="123">
        <v>45740.0</v>
      </c>
      <c r="B25" s="124">
        <v>0.0</v>
      </c>
      <c r="C25" s="125">
        <v>0.0</v>
      </c>
      <c r="D25" s="125">
        <v>0.0</v>
      </c>
      <c r="E25" s="125">
        <v>0.0</v>
      </c>
      <c r="F25" s="126">
        <v>50.0</v>
      </c>
      <c r="G25" s="125">
        <v>0.0</v>
      </c>
      <c r="H25" s="125">
        <v>0.0</v>
      </c>
      <c r="I25" s="125">
        <v>0.0</v>
      </c>
      <c r="J25" s="125">
        <v>0.0</v>
      </c>
      <c r="K25" s="125">
        <v>0.0</v>
      </c>
      <c r="L25" s="125">
        <v>0.0</v>
      </c>
      <c r="M25" s="125">
        <v>0.0</v>
      </c>
    </row>
    <row r="26" ht="22.5" customHeight="1">
      <c r="A26" s="123">
        <v>45741.0</v>
      </c>
      <c r="B26" s="124">
        <v>0.0</v>
      </c>
      <c r="C26" s="125">
        <v>0.0</v>
      </c>
      <c r="D26" s="125">
        <v>0.0</v>
      </c>
      <c r="E26" s="125">
        <v>600.0</v>
      </c>
      <c r="F26" s="126">
        <v>45.0</v>
      </c>
      <c r="G26" s="125">
        <v>0.0</v>
      </c>
      <c r="H26" s="125">
        <v>0.0</v>
      </c>
      <c r="I26" s="125">
        <v>0.0</v>
      </c>
      <c r="J26" s="125">
        <v>0.0</v>
      </c>
      <c r="K26" s="125">
        <v>0.0</v>
      </c>
      <c r="L26" s="125">
        <v>0.0</v>
      </c>
      <c r="M26" s="125">
        <v>0.0</v>
      </c>
    </row>
    <row r="27" ht="22.5" customHeight="1">
      <c r="A27" s="123">
        <v>45742.0</v>
      </c>
      <c r="B27" s="124">
        <v>0.0</v>
      </c>
      <c r="C27" s="125">
        <v>0.0</v>
      </c>
      <c r="D27" s="125">
        <v>0.0</v>
      </c>
      <c r="E27" s="125">
        <v>0.0</v>
      </c>
      <c r="F27" s="126">
        <v>40.0</v>
      </c>
      <c r="G27" s="125">
        <v>0.0</v>
      </c>
      <c r="H27" s="125">
        <v>0.0</v>
      </c>
      <c r="I27" s="125">
        <v>0.0</v>
      </c>
      <c r="J27" s="125">
        <v>0.0</v>
      </c>
      <c r="K27" s="125">
        <v>0.0</v>
      </c>
      <c r="L27" s="125">
        <v>0.0</v>
      </c>
      <c r="M27" s="125">
        <v>0.0</v>
      </c>
    </row>
    <row r="28" ht="22.5" customHeight="1">
      <c r="A28" s="123">
        <v>45743.0</v>
      </c>
      <c r="B28" s="124">
        <v>0.0</v>
      </c>
      <c r="C28" s="125">
        <v>0.0</v>
      </c>
      <c r="D28" s="126">
        <v>0.0</v>
      </c>
      <c r="E28" s="125">
        <v>0.0</v>
      </c>
      <c r="F28" s="126">
        <v>40.0</v>
      </c>
      <c r="G28" s="125">
        <v>0.0</v>
      </c>
      <c r="H28" s="125">
        <v>60.0</v>
      </c>
      <c r="I28" s="126">
        <v>0.0</v>
      </c>
      <c r="J28" s="126">
        <v>0.0</v>
      </c>
      <c r="K28" s="126">
        <v>0.0</v>
      </c>
      <c r="L28" s="125">
        <v>80.0</v>
      </c>
      <c r="M28" s="125">
        <v>80.0</v>
      </c>
    </row>
    <row r="29" ht="22.5" customHeight="1">
      <c r="A29" s="123">
        <v>45744.0</v>
      </c>
      <c r="B29" s="124">
        <v>400.0</v>
      </c>
      <c r="C29" s="125">
        <v>0.0</v>
      </c>
      <c r="D29" s="125">
        <v>0.0</v>
      </c>
      <c r="E29" s="125">
        <v>0.0</v>
      </c>
      <c r="F29" s="126">
        <v>40.0</v>
      </c>
      <c r="G29" s="125">
        <v>0.0</v>
      </c>
      <c r="H29" s="125">
        <v>0.0</v>
      </c>
      <c r="I29" s="125">
        <v>0.0</v>
      </c>
      <c r="J29" s="126">
        <v>30.0</v>
      </c>
      <c r="K29" s="125">
        <v>0.0</v>
      </c>
      <c r="L29" s="125">
        <v>0.0</v>
      </c>
      <c r="M29" s="125">
        <v>0.0</v>
      </c>
    </row>
    <row r="30" ht="22.5" customHeight="1">
      <c r="A30" s="123">
        <v>45745.0</v>
      </c>
      <c r="B30" s="124">
        <v>0.0</v>
      </c>
      <c r="C30" s="125">
        <v>0.0</v>
      </c>
      <c r="D30" s="125">
        <v>0.0</v>
      </c>
      <c r="E30" s="125">
        <v>0.0</v>
      </c>
      <c r="F30" s="126">
        <v>40.0</v>
      </c>
      <c r="G30" s="125">
        <v>200.0</v>
      </c>
      <c r="H30" s="125">
        <v>0.0</v>
      </c>
      <c r="I30" s="125">
        <v>0.0</v>
      </c>
      <c r="J30" s="125">
        <v>0.0</v>
      </c>
      <c r="K30" s="125">
        <v>0.0</v>
      </c>
      <c r="L30" s="125">
        <v>0.0</v>
      </c>
      <c r="M30" s="125">
        <v>0.0</v>
      </c>
    </row>
    <row r="31" ht="22.5" customHeight="1">
      <c r="A31" s="123">
        <v>45746.0</v>
      </c>
      <c r="B31" s="124">
        <v>0.0</v>
      </c>
      <c r="C31" s="126">
        <v>800.0</v>
      </c>
      <c r="D31" s="125">
        <v>0.0</v>
      </c>
      <c r="E31" s="125">
        <v>0.0</v>
      </c>
      <c r="F31" s="126">
        <v>40.0</v>
      </c>
      <c r="G31" s="125">
        <v>0.0</v>
      </c>
      <c r="H31" s="125">
        <v>0.0</v>
      </c>
      <c r="I31" s="126">
        <v>25.0</v>
      </c>
      <c r="J31" s="126">
        <v>0.0</v>
      </c>
      <c r="K31" s="125">
        <v>0.0</v>
      </c>
      <c r="L31" s="125">
        <v>0.0</v>
      </c>
      <c r="M31" s="125">
        <v>0.0</v>
      </c>
    </row>
    <row r="32" ht="22.5" customHeight="1">
      <c r="A32" s="123">
        <v>45747.0</v>
      </c>
      <c r="B32" s="124">
        <v>0.0</v>
      </c>
      <c r="C32" s="125">
        <v>0.0</v>
      </c>
      <c r="D32" s="125">
        <v>0.0</v>
      </c>
      <c r="E32" s="125">
        <v>0.0</v>
      </c>
      <c r="F32" s="126">
        <v>40.0</v>
      </c>
      <c r="G32" s="125">
        <v>0.0</v>
      </c>
      <c r="H32" s="125">
        <v>0.0</v>
      </c>
      <c r="I32" s="126">
        <v>0.0</v>
      </c>
      <c r="J32" s="125">
        <v>0.0</v>
      </c>
      <c r="K32" s="126">
        <v>300.0</v>
      </c>
      <c r="L32" s="125">
        <v>0.0</v>
      </c>
      <c r="M32" s="125">
        <v>0.0</v>
      </c>
    </row>
    <row r="33" ht="22.5" customHeight="1">
      <c r="A33" s="123">
        <v>45748.0</v>
      </c>
      <c r="B33" s="124">
        <v>0.0</v>
      </c>
      <c r="C33" s="126">
        <v>0.0</v>
      </c>
      <c r="D33" s="125">
        <v>0.0</v>
      </c>
      <c r="E33" s="125">
        <v>0.0</v>
      </c>
      <c r="F33" s="126">
        <v>40.0</v>
      </c>
      <c r="G33" s="125">
        <v>0.0</v>
      </c>
      <c r="H33" s="125">
        <v>0.0</v>
      </c>
      <c r="I33" s="125">
        <v>0.0</v>
      </c>
      <c r="J33" s="125">
        <v>0.0</v>
      </c>
      <c r="K33" s="125">
        <v>0.0</v>
      </c>
      <c r="L33" s="125">
        <v>0.0</v>
      </c>
      <c r="M33" s="125">
        <v>0.0</v>
      </c>
    </row>
    <row r="34" ht="22.5" customHeight="1">
      <c r="A34" s="123">
        <v>45749.0</v>
      </c>
      <c r="B34" s="124">
        <v>0.0</v>
      </c>
      <c r="C34" s="125">
        <v>0.0</v>
      </c>
      <c r="D34" s="125">
        <v>0.0</v>
      </c>
      <c r="E34" s="125">
        <v>0.0</v>
      </c>
      <c r="F34" s="126">
        <v>40.0</v>
      </c>
      <c r="G34" s="125">
        <v>0.0</v>
      </c>
      <c r="H34" s="125">
        <v>60.0</v>
      </c>
      <c r="I34" s="126">
        <v>0.0</v>
      </c>
      <c r="J34" s="126">
        <v>0.0</v>
      </c>
      <c r="K34" s="125">
        <v>0.0</v>
      </c>
      <c r="L34" s="125">
        <v>0.0</v>
      </c>
      <c r="M34" s="125">
        <v>0.0</v>
      </c>
    </row>
    <row r="35" ht="22.5" customHeight="1">
      <c r="A35" s="123">
        <v>45750.0</v>
      </c>
      <c r="B35" s="124">
        <v>0.0</v>
      </c>
      <c r="C35" s="125">
        <v>0.0</v>
      </c>
      <c r="D35" s="125">
        <v>0.0</v>
      </c>
      <c r="E35" s="125">
        <v>0.0</v>
      </c>
      <c r="F35" s="126">
        <v>40.0</v>
      </c>
      <c r="G35" s="125">
        <v>0.0</v>
      </c>
      <c r="H35" s="125">
        <v>0.0</v>
      </c>
      <c r="I35" s="125">
        <v>0.0</v>
      </c>
      <c r="J35" s="125">
        <v>0.0</v>
      </c>
      <c r="K35" s="125">
        <v>0.0</v>
      </c>
      <c r="L35" s="125">
        <v>0.0</v>
      </c>
      <c r="M35" s="125">
        <v>0.0</v>
      </c>
    </row>
    <row r="36" ht="22.5" customHeight="1">
      <c r="A36" s="123">
        <v>45751.0</v>
      </c>
      <c r="B36" s="124">
        <v>0.0</v>
      </c>
      <c r="C36" s="125">
        <v>0.0</v>
      </c>
      <c r="D36" s="125">
        <v>0.0</v>
      </c>
      <c r="E36" s="125">
        <v>600.0</v>
      </c>
      <c r="F36" s="126">
        <v>40.0</v>
      </c>
      <c r="G36" s="125">
        <v>0.0</v>
      </c>
      <c r="H36" s="125">
        <v>0.0</v>
      </c>
      <c r="I36" s="125">
        <v>0.0</v>
      </c>
      <c r="J36" s="125">
        <v>0.0</v>
      </c>
      <c r="K36" s="125">
        <v>0.0</v>
      </c>
      <c r="L36" s="125">
        <v>0.0</v>
      </c>
      <c r="M36" s="125">
        <v>0.0</v>
      </c>
    </row>
    <row r="37" ht="22.5" customHeight="1">
      <c r="A37" s="123">
        <v>45752.0</v>
      </c>
      <c r="B37" s="124">
        <v>0.0</v>
      </c>
      <c r="C37" s="125">
        <v>0.0</v>
      </c>
      <c r="D37" s="126">
        <v>400.0</v>
      </c>
      <c r="E37" s="125">
        <v>0.0</v>
      </c>
      <c r="F37" s="126">
        <v>40.0</v>
      </c>
      <c r="G37" s="125">
        <v>0.0</v>
      </c>
      <c r="H37" s="125">
        <v>0.0</v>
      </c>
      <c r="I37" s="126">
        <v>25.0</v>
      </c>
      <c r="J37" s="126">
        <v>0.0</v>
      </c>
      <c r="K37" s="125">
        <v>0.0</v>
      </c>
      <c r="L37" s="125">
        <v>0.0</v>
      </c>
      <c r="M37" s="125">
        <v>0.0</v>
      </c>
    </row>
    <row r="38" ht="22.5" customHeight="1">
      <c r="A38" s="123">
        <v>45753.0</v>
      </c>
      <c r="B38" s="124">
        <v>0.0</v>
      </c>
      <c r="C38" s="125">
        <v>0.0</v>
      </c>
      <c r="D38" s="125">
        <v>0.0</v>
      </c>
      <c r="E38" s="125">
        <v>0.0</v>
      </c>
      <c r="F38" s="126">
        <v>50.0</v>
      </c>
      <c r="G38" s="125">
        <v>200.0</v>
      </c>
      <c r="H38" s="125">
        <v>0.0</v>
      </c>
      <c r="I38" s="126">
        <v>0.0</v>
      </c>
      <c r="J38" s="126">
        <v>30.0</v>
      </c>
      <c r="K38" s="125">
        <v>0.0</v>
      </c>
      <c r="L38" s="125">
        <v>0.0</v>
      </c>
      <c r="M38" s="125">
        <v>0.0</v>
      </c>
    </row>
    <row r="39" ht="22.5" customHeight="1">
      <c r="A39" s="123">
        <v>45754.0</v>
      </c>
      <c r="B39" s="124">
        <v>0.0</v>
      </c>
      <c r="C39" s="125">
        <v>0.0</v>
      </c>
      <c r="D39" s="125">
        <v>0.0</v>
      </c>
      <c r="E39" s="125">
        <v>0.0</v>
      </c>
      <c r="F39" s="126">
        <v>40.0</v>
      </c>
      <c r="G39" s="125">
        <v>0.0</v>
      </c>
      <c r="H39" s="125">
        <v>0.0</v>
      </c>
      <c r="I39" s="126">
        <v>0.0</v>
      </c>
      <c r="J39" s="126">
        <v>0.0</v>
      </c>
      <c r="K39" s="125">
        <v>0.0</v>
      </c>
      <c r="L39" s="125">
        <v>80.0</v>
      </c>
      <c r="M39" s="125">
        <v>80.0</v>
      </c>
    </row>
    <row r="40" ht="22.5" customHeight="1">
      <c r="A40" s="123">
        <v>45755.0</v>
      </c>
      <c r="B40" s="124">
        <v>0.0</v>
      </c>
      <c r="C40" s="125">
        <v>0.0</v>
      </c>
      <c r="D40" s="125">
        <v>0.0</v>
      </c>
      <c r="E40" s="125">
        <v>0.0</v>
      </c>
      <c r="F40" s="126">
        <v>50.0</v>
      </c>
      <c r="G40" s="125">
        <v>0.0</v>
      </c>
      <c r="H40" s="125">
        <v>60.0</v>
      </c>
      <c r="I40" s="126">
        <v>0.0</v>
      </c>
      <c r="J40" s="126">
        <v>0.0</v>
      </c>
      <c r="K40" s="125">
        <v>0.0</v>
      </c>
      <c r="L40" s="125">
        <v>0.0</v>
      </c>
      <c r="M40" s="125">
        <v>0.0</v>
      </c>
    </row>
    <row r="41" ht="22.5" customHeight="1">
      <c r="A41" s="123">
        <v>45756.0</v>
      </c>
      <c r="B41" s="124">
        <v>800.0</v>
      </c>
      <c r="C41" s="125">
        <v>0.0</v>
      </c>
      <c r="D41" s="126">
        <v>0.0</v>
      </c>
      <c r="E41" s="125">
        <v>0.0</v>
      </c>
      <c r="F41" s="126">
        <v>50.0</v>
      </c>
      <c r="G41" s="125">
        <v>0.0</v>
      </c>
      <c r="H41" s="125">
        <v>0.0</v>
      </c>
      <c r="I41" s="125">
        <v>0.0</v>
      </c>
      <c r="J41" s="125">
        <v>0.0</v>
      </c>
      <c r="K41" s="126">
        <v>0.0</v>
      </c>
      <c r="L41" s="125">
        <v>0.0</v>
      </c>
      <c r="M41" s="125">
        <v>0.0</v>
      </c>
    </row>
    <row r="42" ht="22.5" customHeight="1">
      <c r="A42" s="123">
        <v>45757.0</v>
      </c>
      <c r="B42" s="124">
        <v>0.0</v>
      </c>
      <c r="C42" s="125">
        <v>0.0</v>
      </c>
      <c r="D42" s="125">
        <v>0.0</v>
      </c>
      <c r="E42" s="125">
        <v>0.0</v>
      </c>
      <c r="F42" s="126">
        <v>50.0</v>
      </c>
      <c r="G42" s="125">
        <v>0.0</v>
      </c>
      <c r="H42" s="125">
        <v>0.0</v>
      </c>
      <c r="I42" s="125">
        <v>0.0</v>
      </c>
      <c r="J42" s="125">
        <v>0.0</v>
      </c>
      <c r="K42" s="125">
        <v>0.0</v>
      </c>
      <c r="L42" s="125">
        <v>0.0</v>
      </c>
      <c r="M42" s="125">
        <v>0.0</v>
      </c>
    </row>
    <row r="43" ht="22.5" customHeight="1">
      <c r="A43" s="123">
        <v>45758.0</v>
      </c>
      <c r="B43" s="124">
        <v>0.0</v>
      </c>
      <c r="C43" s="125">
        <v>0.0</v>
      </c>
      <c r="D43" s="125">
        <v>0.0</v>
      </c>
      <c r="E43" s="125">
        <v>0.0</v>
      </c>
      <c r="F43" s="126">
        <v>40.0</v>
      </c>
      <c r="G43" s="125">
        <v>0.0</v>
      </c>
      <c r="H43" s="125">
        <v>0.0</v>
      </c>
      <c r="I43" s="125">
        <v>0.0</v>
      </c>
      <c r="J43" s="125">
        <v>0.0</v>
      </c>
      <c r="K43" s="125">
        <v>0.0</v>
      </c>
      <c r="L43" s="125">
        <v>0.0</v>
      </c>
      <c r="M43" s="125">
        <v>0.0</v>
      </c>
    </row>
    <row r="44" ht="22.5" customHeight="1">
      <c r="A44" s="123">
        <v>45759.0</v>
      </c>
      <c r="B44" s="124">
        <v>0.0</v>
      </c>
      <c r="C44" s="125">
        <v>0.0</v>
      </c>
      <c r="D44" s="125">
        <v>0.0</v>
      </c>
      <c r="E44" s="125">
        <v>600.0</v>
      </c>
      <c r="F44" s="126">
        <v>50.0</v>
      </c>
      <c r="G44" s="125">
        <v>0.0</v>
      </c>
      <c r="H44" s="125">
        <v>0.0</v>
      </c>
      <c r="I44" s="125">
        <v>0.0</v>
      </c>
      <c r="J44" s="125">
        <v>0.0</v>
      </c>
      <c r="K44" s="125">
        <v>0.0</v>
      </c>
      <c r="L44" s="125">
        <v>0.0</v>
      </c>
      <c r="M44" s="125">
        <v>0.0</v>
      </c>
    </row>
    <row r="45" ht="22.5" customHeight="1">
      <c r="A45" s="123">
        <v>45760.0</v>
      </c>
      <c r="B45" s="124">
        <v>0.0</v>
      </c>
      <c r="C45" s="125">
        <v>0.0</v>
      </c>
      <c r="D45" s="125">
        <v>0.0</v>
      </c>
      <c r="E45" s="125">
        <v>0.0</v>
      </c>
      <c r="F45" s="126">
        <v>50.0</v>
      </c>
      <c r="G45" s="125">
        <v>0.0</v>
      </c>
      <c r="H45" s="125">
        <v>60.0</v>
      </c>
      <c r="I45" s="126">
        <v>30.0</v>
      </c>
      <c r="J45" s="126">
        <v>30.0</v>
      </c>
      <c r="K45" s="125">
        <v>0.0</v>
      </c>
      <c r="L45" s="125">
        <v>0.0</v>
      </c>
      <c r="M45" s="125">
        <v>0.0</v>
      </c>
    </row>
    <row r="46" ht="22.5" customHeight="1">
      <c r="A46" s="123">
        <v>45761.0</v>
      </c>
      <c r="B46" s="124">
        <v>0.0</v>
      </c>
      <c r="C46" s="125">
        <v>0.0</v>
      </c>
      <c r="D46" s="125">
        <v>0.0</v>
      </c>
      <c r="E46" s="125">
        <v>0.0</v>
      </c>
      <c r="F46" s="126">
        <v>50.0</v>
      </c>
      <c r="G46" s="125">
        <v>200.0</v>
      </c>
      <c r="H46" s="125">
        <v>0.0</v>
      </c>
      <c r="I46" s="125">
        <v>0.0</v>
      </c>
      <c r="J46" s="125">
        <v>0.0</v>
      </c>
      <c r="K46" s="125">
        <v>0.0</v>
      </c>
      <c r="L46" s="125">
        <v>0.0</v>
      </c>
      <c r="M46" s="125">
        <v>0.0</v>
      </c>
    </row>
    <row r="47" ht="22.5" customHeight="1">
      <c r="A47" s="123">
        <v>45762.0</v>
      </c>
      <c r="B47" s="124">
        <v>0.0</v>
      </c>
      <c r="C47" s="125">
        <v>0.0</v>
      </c>
      <c r="D47" s="126">
        <v>400.0</v>
      </c>
      <c r="E47" s="125">
        <v>0.0</v>
      </c>
      <c r="F47" s="126">
        <v>50.0</v>
      </c>
      <c r="G47" s="125">
        <v>0.0</v>
      </c>
      <c r="H47" s="125">
        <v>0.0</v>
      </c>
      <c r="I47" s="126">
        <v>0.0</v>
      </c>
      <c r="J47" s="126">
        <v>0.0</v>
      </c>
      <c r="K47" s="125">
        <v>0.0</v>
      </c>
      <c r="L47" s="125">
        <v>0.0</v>
      </c>
      <c r="M47" s="125">
        <v>0.0</v>
      </c>
    </row>
    <row r="48" ht="22.5" customHeight="1">
      <c r="A48" s="123">
        <v>45763.0</v>
      </c>
      <c r="B48" s="124">
        <v>0.0</v>
      </c>
      <c r="C48" s="125">
        <v>0.0</v>
      </c>
      <c r="D48" s="125">
        <v>0.0</v>
      </c>
      <c r="E48" s="125">
        <v>0.0</v>
      </c>
      <c r="F48" s="126">
        <v>40.0</v>
      </c>
      <c r="G48" s="125">
        <v>0.0</v>
      </c>
      <c r="H48" s="125">
        <v>0.0</v>
      </c>
      <c r="I48" s="125">
        <v>0.0</v>
      </c>
      <c r="J48" s="125">
        <v>0.0</v>
      </c>
      <c r="K48" s="125">
        <v>0.0</v>
      </c>
      <c r="L48" s="125">
        <v>0.0</v>
      </c>
      <c r="M48" s="125">
        <v>0.0</v>
      </c>
    </row>
    <row r="49" ht="22.5" customHeight="1">
      <c r="A49" s="123">
        <v>45764.0</v>
      </c>
      <c r="B49" s="124">
        <v>0.0</v>
      </c>
      <c r="C49" s="125">
        <v>400.0</v>
      </c>
      <c r="D49" s="125">
        <v>0.0</v>
      </c>
      <c r="E49" s="125">
        <v>0.0</v>
      </c>
      <c r="F49" s="126">
        <v>30.0</v>
      </c>
      <c r="G49" s="125">
        <v>0.0</v>
      </c>
      <c r="H49" s="125">
        <v>0.0</v>
      </c>
      <c r="I49" s="125">
        <v>0.0</v>
      </c>
      <c r="J49" s="125">
        <v>0.0</v>
      </c>
      <c r="K49" s="125">
        <v>0.0</v>
      </c>
      <c r="L49" s="125">
        <v>80.0</v>
      </c>
      <c r="M49" s="125">
        <v>80.0</v>
      </c>
    </row>
    <row r="50" ht="22.5" customHeight="1">
      <c r="A50" s="123">
        <v>45765.0</v>
      </c>
      <c r="B50" s="124">
        <v>0.0</v>
      </c>
      <c r="C50" s="125">
        <v>0.0</v>
      </c>
      <c r="D50" s="125">
        <v>0.0</v>
      </c>
      <c r="E50" s="125">
        <v>0.0</v>
      </c>
      <c r="F50" s="126">
        <v>30.0</v>
      </c>
      <c r="G50" s="125">
        <v>0.0</v>
      </c>
      <c r="H50" s="125">
        <v>0.0</v>
      </c>
      <c r="I50" s="126">
        <v>30.0</v>
      </c>
      <c r="J50" s="125">
        <v>0.0</v>
      </c>
      <c r="K50" s="125">
        <v>0.0</v>
      </c>
      <c r="L50" s="125">
        <v>0.0</v>
      </c>
      <c r="M50" s="125">
        <v>0.0</v>
      </c>
    </row>
    <row r="51" ht="22.5" customHeight="1">
      <c r="A51" s="123">
        <v>45766.0</v>
      </c>
      <c r="B51" s="124">
        <v>0.0</v>
      </c>
      <c r="C51" s="125">
        <v>0.0</v>
      </c>
      <c r="D51" s="125">
        <v>0.0</v>
      </c>
      <c r="E51" s="125">
        <v>0.0</v>
      </c>
      <c r="F51" s="126">
        <v>30.0</v>
      </c>
      <c r="G51" s="125">
        <v>0.0</v>
      </c>
      <c r="H51" s="125">
        <v>0.0</v>
      </c>
      <c r="I51" s="126">
        <v>0.0</v>
      </c>
      <c r="J51" s="125">
        <v>0.0</v>
      </c>
      <c r="K51" s="125">
        <v>0.0</v>
      </c>
      <c r="L51" s="125">
        <v>0.0</v>
      </c>
      <c r="M51" s="125">
        <v>0.0</v>
      </c>
    </row>
    <row r="52" ht="22.5" customHeight="1">
      <c r="A52" s="123">
        <v>45767.0</v>
      </c>
      <c r="B52" s="124">
        <v>0.0</v>
      </c>
      <c r="C52" s="125">
        <v>0.0</v>
      </c>
      <c r="D52" s="125">
        <v>0.0</v>
      </c>
      <c r="E52" s="125">
        <v>0.0</v>
      </c>
      <c r="F52" s="126">
        <v>40.0</v>
      </c>
      <c r="G52" s="125">
        <v>0.0</v>
      </c>
      <c r="H52" s="125">
        <v>60.0</v>
      </c>
      <c r="I52" s="126">
        <v>0.0</v>
      </c>
      <c r="J52" s="126">
        <v>0.0</v>
      </c>
      <c r="K52" s="125">
        <v>0.0</v>
      </c>
      <c r="L52" s="125">
        <v>0.0</v>
      </c>
      <c r="M52" s="125">
        <v>0.0</v>
      </c>
    </row>
    <row r="53" ht="22.5" customHeight="1">
      <c r="A53" s="123">
        <v>45768.0</v>
      </c>
      <c r="B53" s="124">
        <v>0.0</v>
      </c>
      <c r="C53" s="125">
        <v>0.0</v>
      </c>
      <c r="D53" s="125">
        <v>0.0</v>
      </c>
      <c r="E53" s="126">
        <v>0.0</v>
      </c>
      <c r="F53" s="126">
        <v>50.0</v>
      </c>
      <c r="G53" s="125">
        <v>0.0</v>
      </c>
      <c r="H53" s="125">
        <v>0.0</v>
      </c>
      <c r="I53" s="125">
        <v>0.0</v>
      </c>
      <c r="J53" s="125">
        <v>0.0</v>
      </c>
      <c r="K53" s="125">
        <v>0.0</v>
      </c>
      <c r="L53" s="125">
        <v>0.0</v>
      </c>
      <c r="M53" s="125">
        <v>0.0</v>
      </c>
    </row>
    <row r="54" ht="22.5" customHeight="1">
      <c r="A54" s="123">
        <v>45769.0</v>
      </c>
      <c r="B54" s="124">
        <v>0.0</v>
      </c>
      <c r="C54" s="125">
        <v>0.0</v>
      </c>
      <c r="D54" s="126">
        <v>0.0</v>
      </c>
      <c r="E54" s="125">
        <v>0.0</v>
      </c>
      <c r="F54" s="126">
        <v>50.0</v>
      </c>
      <c r="G54" s="125">
        <v>0.0</v>
      </c>
      <c r="H54" s="125">
        <v>0.0</v>
      </c>
      <c r="I54" s="125">
        <v>0.0</v>
      </c>
      <c r="J54" s="126">
        <v>30.0</v>
      </c>
      <c r="K54" s="125">
        <v>300.0</v>
      </c>
      <c r="L54" s="125">
        <v>0.0</v>
      </c>
      <c r="M54" s="125">
        <v>0.0</v>
      </c>
    </row>
    <row r="55" ht="22.5" customHeight="1">
      <c r="A55" s="123">
        <v>45770.0</v>
      </c>
      <c r="B55" s="124">
        <v>0.0</v>
      </c>
      <c r="C55" s="125">
        <v>0.0</v>
      </c>
      <c r="D55" s="125">
        <v>0.0</v>
      </c>
      <c r="E55" s="125">
        <v>0.0</v>
      </c>
      <c r="F55" s="126">
        <v>40.0</v>
      </c>
      <c r="G55" s="125">
        <v>0.0</v>
      </c>
      <c r="H55" s="125">
        <v>0.0</v>
      </c>
      <c r="I55" s="125">
        <v>0.0</v>
      </c>
      <c r="J55" s="125">
        <v>0.0</v>
      </c>
      <c r="K55" s="125">
        <v>0.0</v>
      </c>
      <c r="L55" s="125">
        <v>0.0</v>
      </c>
      <c r="M55" s="125">
        <v>0.0</v>
      </c>
    </row>
    <row r="56" ht="22.5" customHeight="1">
      <c r="A56" s="123">
        <v>45771.0</v>
      </c>
      <c r="B56" s="124">
        <v>0.0</v>
      </c>
      <c r="C56" s="125">
        <v>0.0</v>
      </c>
      <c r="D56" s="125">
        <v>0.0</v>
      </c>
      <c r="E56" s="125">
        <v>0.0</v>
      </c>
      <c r="F56" s="126">
        <v>40.0</v>
      </c>
      <c r="G56" s="125">
        <v>200.0</v>
      </c>
      <c r="H56" s="125">
        <v>0.0</v>
      </c>
      <c r="I56" s="125">
        <v>0.0</v>
      </c>
      <c r="J56" s="125">
        <v>0.0</v>
      </c>
      <c r="K56" s="125">
        <v>0.0</v>
      </c>
      <c r="L56" s="125">
        <v>0.0</v>
      </c>
      <c r="M56" s="125">
        <v>0.0</v>
      </c>
    </row>
    <row r="57" ht="22.5" customHeight="1">
      <c r="A57" s="123">
        <v>45772.0</v>
      </c>
      <c r="B57" s="124">
        <v>0.0</v>
      </c>
      <c r="C57" s="125">
        <v>0.0</v>
      </c>
      <c r="D57" s="126">
        <v>200.0</v>
      </c>
      <c r="E57" s="125">
        <v>0.0</v>
      </c>
      <c r="F57" s="126">
        <v>50.0</v>
      </c>
      <c r="G57" s="125">
        <v>0.0</v>
      </c>
      <c r="H57" s="125">
        <v>0.0</v>
      </c>
      <c r="I57" s="125">
        <v>0.0</v>
      </c>
      <c r="J57" s="125">
        <v>0.0</v>
      </c>
      <c r="K57" s="125">
        <v>0.0</v>
      </c>
      <c r="L57" s="125">
        <v>0.0</v>
      </c>
      <c r="M57" s="125">
        <v>0.0</v>
      </c>
    </row>
    <row r="58" ht="22.5" customHeight="1">
      <c r="A58" s="123">
        <v>45773.0</v>
      </c>
      <c r="B58" s="124">
        <v>800.0</v>
      </c>
      <c r="C58" s="125">
        <v>0.0</v>
      </c>
      <c r="D58" s="125">
        <v>0.0</v>
      </c>
      <c r="E58" s="126">
        <v>400.0</v>
      </c>
      <c r="F58" s="126">
        <v>50.0</v>
      </c>
      <c r="G58" s="125">
        <v>0.0</v>
      </c>
      <c r="H58" s="125">
        <v>0.0</v>
      </c>
      <c r="I58" s="126">
        <v>10.0</v>
      </c>
      <c r="J58" s="125">
        <v>0.0</v>
      </c>
      <c r="K58" s="125">
        <v>0.0</v>
      </c>
      <c r="L58" s="125">
        <v>0.0</v>
      </c>
      <c r="M58" s="125">
        <v>0.0</v>
      </c>
    </row>
    <row r="59" ht="22.5" customHeight="1">
      <c r="A59" s="123">
        <v>45774.0</v>
      </c>
      <c r="B59" s="124">
        <v>0.0</v>
      </c>
      <c r="C59" s="125">
        <v>0.0</v>
      </c>
      <c r="D59" s="125">
        <v>0.0</v>
      </c>
      <c r="E59" s="125">
        <v>0.0</v>
      </c>
      <c r="F59" s="126">
        <v>50.0</v>
      </c>
      <c r="G59" s="125">
        <v>0.0</v>
      </c>
      <c r="H59" s="125">
        <v>60.0</v>
      </c>
      <c r="I59" s="126">
        <v>0.0</v>
      </c>
      <c r="J59" s="126">
        <v>0.0</v>
      </c>
      <c r="K59" s="125">
        <v>0.0</v>
      </c>
      <c r="L59" s="125">
        <v>0.0</v>
      </c>
      <c r="M59" s="125">
        <v>0.0</v>
      </c>
    </row>
    <row r="60" ht="22.5" customHeight="1">
      <c r="A60" s="123">
        <v>45775.0</v>
      </c>
      <c r="B60" s="124">
        <v>0.0</v>
      </c>
      <c r="C60" s="125">
        <v>0.0</v>
      </c>
      <c r="D60" s="125">
        <v>0.0</v>
      </c>
      <c r="E60" s="125">
        <v>0.0</v>
      </c>
      <c r="F60" s="126">
        <v>50.0</v>
      </c>
      <c r="G60" s="125">
        <v>0.0</v>
      </c>
      <c r="H60" s="125">
        <v>0.0</v>
      </c>
      <c r="I60" s="126">
        <v>0.0</v>
      </c>
      <c r="J60" s="126">
        <v>0.0</v>
      </c>
      <c r="K60" s="125">
        <v>0.0</v>
      </c>
      <c r="L60" s="125">
        <v>0.0</v>
      </c>
      <c r="M60" s="125">
        <v>0.0</v>
      </c>
    </row>
    <row r="61" ht="22.5" customHeight="1">
      <c r="A61" s="123">
        <v>45776.0</v>
      </c>
      <c r="B61" s="124">
        <v>0.0</v>
      </c>
      <c r="C61" s="125">
        <v>0.0</v>
      </c>
      <c r="D61" s="125">
        <v>0.0</v>
      </c>
      <c r="E61" s="125">
        <v>0.0</v>
      </c>
      <c r="F61" s="126">
        <v>50.0</v>
      </c>
      <c r="G61" s="125">
        <v>0.0</v>
      </c>
      <c r="H61" s="125">
        <v>0.0</v>
      </c>
      <c r="I61" s="125">
        <v>0.0</v>
      </c>
      <c r="J61" s="126">
        <v>30.0</v>
      </c>
      <c r="K61" s="125">
        <v>0.0</v>
      </c>
      <c r="L61" s="125">
        <v>80.0</v>
      </c>
      <c r="M61" s="125">
        <v>80.0</v>
      </c>
    </row>
    <row r="62" ht="22.5" customHeight="1">
      <c r="A62" s="123">
        <v>45777.0</v>
      </c>
      <c r="B62" s="124">
        <v>0.0</v>
      </c>
      <c r="C62" s="125">
        <v>0.0</v>
      </c>
      <c r="D62" s="125">
        <v>0.0</v>
      </c>
      <c r="E62" s="125">
        <v>0.0</v>
      </c>
      <c r="F62" s="126">
        <v>40.0</v>
      </c>
      <c r="G62" s="125">
        <v>0.0</v>
      </c>
      <c r="H62" s="125">
        <v>0.0</v>
      </c>
      <c r="I62" s="125">
        <v>0.0</v>
      </c>
      <c r="J62" s="126">
        <v>0.0</v>
      </c>
      <c r="K62" s="125">
        <v>0.0</v>
      </c>
      <c r="L62" s="125">
        <v>0.0</v>
      </c>
      <c r="M62" s="125">
        <v>0.0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8.75"/>
    <col customWidth="1" min="3" max="3" width="17.88"/>
    <col customWidth="1" min="4" max="4" width="14.63"/>
    <col customWidth="1" min="5" max="5" width="19.75"/>
    <col customWidth="1" min="6" max="6" width="25.38"/>
    <col customWidth="1" min="7" max="7" width="32.0"/>
    <col customWidth="1" min="8" max="8" width="21.88"/>
    <col customWidth="1" min="9" max="9" width="20.0"/>
    <col customWidth="1" min="10" max="10" width="23.13"/>
    <col customWidth="1" min="11" max="11" width="21.75"/>
    <col customWidth="1" min="12" max="12" width="22.0"/>
    <col customWidth="1" min="13" max="13" width="24.88"/>
    <col customWidth="1" min="14" max="14" width="27.0"/>
  </cols>
  <sheetData>
    <row r="1" ht="22.5" customHeight="1">
      <c r="A1" s="127" t="s">
        <v>78</v>
      </c>
      <c r="B1" s="128" t="s">
        <v>79</v>
      </c>
      <c r="C1" s="129" t="s">
        <v>80</v>
      </c>
      <c r="D1" s="129" t="s">
        <v>81</v>
      </c>
      <c r="E1" s="129" t="s">
        <v>82</v>
      </c>
      <c r="F1" s="129" t="s">
        <v>83</v>
      </c>
      <c r="G1" s="129" t="s">
        <v>84</v>
      </c>
      <c r="H1" s="129" t="s">
        <v>85</v>
      </c>
      <c r="I1" s="129" t="s">
        <v>86</v>
      </c>
      <c r="J1" s="129" t="s">
        <v>87</v>
      </c>
      <c r="K1" s="129" t="s">
        <v>88</v>
      </c>
      <c r="L1" s="129" t="s">
        <v>89</v>
      </c>
      <c r="M1" s="129" t="s">
        <v>90</v>
      </c>
      <c r="N1" s="129" t="s">
        <v>91</v>
      </c>
    </row>
    <row r="2" ht="22.5" customHeight="1">
      <c r="A2" s="130" t="s">
        <v>92</v>
      </c>
      <c r="B2" s="131" t="s">
        <v>93</v>
      </c>
      <c r="C2" s="131" t="s">
        <v>94</v>
      </c>
      <c r="D2" s="131" t="s">
        <v>95</v>
      </c>
      <c r="E2" s="131" t="s">
        <v>96</v>
      </c>
      <c r="F2" s="131" t="s">
        <v>97</v>
      </c>
      <c r="G2" s="131" t="s">
        <v>98</v>
      </c>
      <c r="H2" s="131" t="s">
        <v>99</v>
      </c>
      <c r="I2" s="132">
        <v>7.0</v>
      </c>
      <c r="J2" s="131" t="s">
        <v>100</v>
      </c>
      <c r="K2" s="131" t="s">
        <v>101</v>
      </c>
      <c r="L2" s="131" t="s">
        <v>102</v>
      </c>
      <c r="M2" s="131" t="s">
        <v>102</v>
      </c>
      <c r="N2" s="131" t="s">
        <v>103</v>
      </c>
    </row>
    <row r="3" ht="22.5" customHeight="1">
      <c r="A3" s="130" t="s">
        <v>104</v>
      </c>
      <c r="B3" s="131" t="s">
        <v>105</v>
      </c>
      <c r="C3" s="131" t="s">
        <v>106</v>
      </c>
      <c r="D3" s="131" t="s">
        <v>95</v>
      </c>
      <c r="E3" s="131" t="s">
        <v>107</v>
      </c>
      <c r="F3" s="131" t="s">
        <v>108</v>
      </c>
      <c r="G3" s="131" t="s">
        <v>98</v>
      </c>
      <c r="H3" s="131" t="s">
        <v>109</v>
      </c>
      <c r="I3" s="132">
        <v>4.0</v>
      </c>
      <c r="J3" s="131" t="s">
        <v>100</v>
      </c>
      <c r="K3" s="131" t="s">
        <v>110</v>
      </c>
      <c r="L3" s="131" t="s">
        <v>111</v>
      </c>
      <c r="M3" s="131" t="s">
        <v>112</v>
      </c>
      <c r="N3" s="131" t="s">
        <v>113</v>
      </c>
    </row>
    <row r="4" ht="22.5" customHeight="1">
      <c r="A4" s="130" t="s">
        <v>114</v>
      </c>
      <c r="B4" s="131" t="s">
        <v>115</v>
      </c>
      <c r="C4" s="131" t="s">
        <v>106</v>
      </c>
      <c r="D4" s="131" t="s">
        <v>116</v>
      </c>
      <c r="E4" s="131" t="s">
        <v>117</v>
      </c>
      <c r="F4" s="131" t="s">
        <v>118</v>
      </c>
      <c r="G4" s="131" t="s">
        <v>119</v>
      </c>
      <c r="H4" s="131" t="s">
        <v>99</v>
      </c>
      <c r="I4" s="132">
        <v>8.0</v>
      </c>
      <c r="J4" s="131" t="s">
        <v>100</v>
      </c>
      <c r="K4" s="131" t="s">
        <v>120</v>
      </c>
      <c r="L4" s="131" t="s">
        <v>112</v>
      </c>
      <c r="M4" s="131" t="s">
        <v>102</v>
      </c>
      <c r="N4" s="131" t="s">
        <v>121</v>
      </c>
    </row>
    <row r="5" ht="22.5" customHeight="1">
      <c r="A5" s="130" t="s">
        <v>122</v>
      </c>
      <c r="B5" s="131" t="s">
        <v>123</v>
      </c>
      <c r="C5" s="131" t="s">
        <v>124</v>
      </c>
      <c r="D5" s="131" t="s">
        <v>116</v>
      </c>
      <c r="E5" s="131" t="s">
        <v>96</v>
      </c>
      <c r="F5" s="131" t="s">
        <v>97</v>
      </c>
      <c r="G5" s="131" t="s">
        <v>125</v>
      </c>
      <c r="H5" s="131" t="s">
        <v>109</v>
      </c>
      <c r="I5" s="132">
        <v>5.0</v>
      </c>
      <c r="J5" s="131" t="s">
        <v>126</v>
      </c>
      <c r="K5" s="131" t="s">
        <v>127</v>
      </c>
      <c r="L5" s="131" t="s">
        <v>112</v>
      </c>
      <c r="M5" s="131" t="s">
        <v>112</v>
      </c>
      <c r="N5" s="131" t="s">
        <v>128</v>
      </c>
    </row>
    <row r="6" ht="22.5" customHeight="1">
      <c r="A6" s="130" t="s">
        <v>129</v>
      </c>
      <c r="B6" s="131" t="s">
        <v>130</v>
      </c>
      <c r="C6" s="131" t="s">
        <v>94</v>
      </c>
      <c r="D6" s="131" t="s">
        <v>95</v>
      </c>
      <c r="E6" s="131" t="s">
        <v>131</v>
      </c>
      <c r="F6" s="131" t="s">
        <v>118</v>
      </c>
      <c r="G6" s="131" t="s">
        <v>98</v>
      </c>
      <c r="H6" s="131" t="s">
        <v>132</v>
      </c>
      <c r="I6" s="132">
        <v>7.0</v>
      </c>
      <c r="J6" s="131" t="s">
        <v>100</v>
      </c>
      <c r="K6" s="131" t="s">
        <v>133</v>
      </c>
      <c r="L6" s="131" t="s">
        <v>111</v>
      </c>
      <c r="M6" s="131" t="s">
        <v>112</v>
      </c>
      <c r="N6" s="131" t="s">
        <v>134</v>
      </c>
    </row>
    <row r="7" ht="22.5" customHeight="1">
      <c r="A7" s="130" t="s">
        <v>135</v>
      </c>
      <c r="B7" s="131" t="s">
        <v>136</v>
      </c>
      <c r="C7" s="131" t="s">
        <v>124</v>
      </c>
      <c r="D7" s="131" t="s">
        <v>137</v>
      </c>
      <c r="E7" s="131" t="s">
        <v>131</v>
      </c>
      <c r="F7" s="131" t="s">
        <v>108</v>
      </c>
      <c r="G7" s="131" t="s">
        <v>119</v>
      </c>
      <c r="H7" s="131" t="s">
        <v>109</v>
      </c>
      <c r="I7" s="132">
        <v>10.0</v>
      </c>
      <c r="J7" s="131" t="s">
        <v>100</v>
      </c>
      <c r="K7" s="131" t="s">
        <v>138</v>
      </c>
      <c r="L7" s="131" t="s">
        <v>102</v>
      </c>
      <c r="M7" s="131" t="s">
        <v>112</v>
      </c>
      <c r="N7" s="131" t="s">
        <v>139</v>
      </c>
    </row>
    <row r="8" ht="22.5" customHeight="1">
      <c r="A8" s="130" t="s">
        <v>140</v>
      </c>
      <c r="B8" s="131" t="s">
        <v>141</v>
      </c>
      <c r="C8" s="131" t="s">
        <v>124</v>
      </c>
      <c r="D8" s="131" t="s">
        <v>116</v>
      </c>
      <c r="E8" s="131" t="s">
        <v>131</v>
      </c>
      <c r="F8" s="131" t="s">
        <v>108</v>
      </c>
      <c r="G8" s="131" t="s">
        <v>119</v>
      </c>
      <c r="H8" s="131" t="s">
        <v>132</v>
      </c>
      <c r="I8" s="132">
        <v>3.0</v>
      </c>
      <c r="J8" s="131" t="s">
        <v>126</v>
      </c>
      <c r="K8" s="131" t="s">
        <v>120</v>
      </c>
      <c r="L8" s="131" t="s">
        <v>112</v>
      </c>
      <c r="M8" s="131" t="s">
        <v>112</v>
      </c>
      <c r="N8" s="131" t="s">
        <v>142</v>
      </c>
    </row>
    <row r="9" ht="22.5" customHeight="1">
      <c r="A9" s="130" t="s">
        <v>143</v>
      </c>
      <c r="B9" s="131" t="s">
        <v>144</v>
      </c>
      <c r="C9" s="131" t="s">
        <v>94</v>
      </c>
      <c r="D9" s="131" t="s">
        <v>95</v>
      </c>
      <c r="E9" s="131" t="s">
        <v>96</v>
      </c>
      <c r="F9" s="131" t="s">
        <v>97</v>
      </c>
      <c r="G9" s="131" t="s">
        <v>125</v>
      </c>
      <c r="H9" s="131" t="s">
        <v>109</v>
      </c>
      <c r="I9" s="132">
        <v>7.0</v>
      </c>
      <c r="J9" s="131" t="s">
        <v>100</v>
      </c>
      <c r="K9" s="131" t="s">
        <v>145</v>
      </c>
      <c r="L9" s="131" t="s">
        <v>102</v>
      </c>
      <c r="M9" s="131" t="s">
        <v>102</v>
      </c>
      <c r="N9" s="131" t="s">
        <v>142</v>
      </c>
    </row>
    <row r="10" ht="22.5" customHeight="1">
      <c r="A10" s="130" t="s">
        <v>146</v>
      </c>
      <c r="B10" s="131" t="s">
        <v>147</v>
      </c>
      <c r="C10" s="131" t="s">
        <v>148</v>
      </c>
      <c r="D10" s="131" t="s">
        <v>137</v>
      </c>
      <c r="E10" s="131" t="s">
        <v>117</v>
      </c>
      <c r="F10" s="131" t="s">
        <v>118</v>
      </c>
      <c r="G10" s="131" t="s">
        <v>98</v>
      </c>
      <c r="H10" s="131" t="s">
        <v>132</v>
      </c>
      <c r="I10" s="132">
        <v>8.0</v>
      </c>
      <c r="J10" s="131" t="s">
        <v>100</v>
      </c>
      <c r="K10" s="131" t="s">
        <v>149</v>
      </c>
      <c r="L10" s="131" t="s">
        <v>102</v>
      </c>
      <c r="M10" s="131" t="s">
        <v>102</v>
      </c>
      <c r="N10" s="131" t="s">
        <v>134</v>
      </c>
    </row>
    <row r="11" ht="22.5" customHeight="1">
      <c r="A11" s="130" t="s">
        <v>150</v>
      </c>
      <c r="B11" s="131" t="s">
        <v>151</v>
      </c>
      <c r="C11" s="131" t="s">
        <v>152</v>
      </c>
      <c r="D11" s="131" t="s">
        <v>116</v>
      </c>
      <c r="E11" s="131" t="s">
        <v>107</v>
      </c>
      <c r="F11" s="131" t="s">
        <v>118</v>
      </c>
      <c r="G11" s="131" t="s">
        <v>119</v>
      </c>
      <c r="H11" s="131" t="s">
        <v>109</v>
      </c>
      <c r="I11" s="132">
        <v>5.0</v>
      </c>
      <c r="J11" s="131" t="s">
        <v>153</v>
      </c>
      <c r="K11" s="131" t="s">
        <v>127</v>
      </c>
      <c r="L11" s="131" t="s">
        <v>111</v>
      </c>
      <c r="M11" s="131" t="s">
        <v>102</v>
      </c>
      <c r="N11" s="131" t="s">
        <v>142</v>
      </c>
    </row>
    <row r="12" ht="22.5" customHeight="1">
      <c r="A12" s="130" t="s">
        <v>154</v>
      </c>
      <c r="B12" s="131" t="s">
        <v>155</v>
      </c>
      <c r="C12" s="131" t="s">
        <v>124</v>
      </c>
      <c r="D12" s="131" t="s">
        <v>95</v>
      </c>
      <c r="E12" s="131" t="s">
        <v>96</v>
      </c>
      <c r="F12" s="131" t="s">
        <v>118</v>
      </c>
      <c r="G12" s="131" t="s">
        <v>98</v>
      </c>
      <c r="H12" s="131" t="s">
        <v>109</v>
      </c>
      <c r="I12" s="132">
        <v>4.0</v>
      </c>
      <c r="J12" s="131" t="s">
        <v>156</v>
      </c>
      <c r="K12" s="131" t="s">
        <v>120</v>
      </c>
      <c r="L12" s="131" t="s">
        <v>111</v>
      </c>
      <c r="M12" s="131" t="s">
        <v>112</v>
      </c>
      <c r="N12" s="131" t="s">
        <v>128</v>
      </c>
    </row>
    <row r="13" ht="22.5" customHeight="1">
      <c r="A13" s="130" t="s">
        <v>157</v>
      </c>
      <c r="B13" s="131" t="s">
        <v>158</v>
      </c>
      <c r="C13" s="131" t="s">
        <v>106</v>
      </c>
      <c r="D13" s="131" t="s">
        <v>137</v>
      </c>
      <c r="E13" s="131" t="s">
        <v>131</v>
      </c>
      <c r="F13" s="131" t="s">
        <v>108</v>
      </c>
      <c r="G13" s="131" t="s">
        <v>125</v>
      </c>
      <c r="H13" s="131" t="s">
        <v>132</v>
      </c>
      <c r="I13" s="132">
        <v>8.0</v>
      </c>
      <c r="J13" s="131" t="s">
        <v>100</v>
      </c>
      <c r="K13" s="131" t="s">
        <v>149</v>
      </c>
      <c r="L13" s="131" t="s">
        <v>112</v>
      </c>
      <c r="M13" s="131" t="s">
        <v>112</v>
      </c>
      <c r="N13" s="131" t="s">
        <v>128</v>
      </c>
    </row>
    <row r="14" ht="22.5" customHeight="1">
      <c r="A14" s="130" t="s">
        <v>159</v>
      </c>
      <c r="B14" s="131" t="s">
        <v>160</v>
      </c>
      <c r="C14" s="131" t="s">
        <v>94</v>
      </c>
      <c r="D14" s="131" t="s">
        <v>95</v>
      </c>
      <c r="E14" s="131" t="s">
        <v>107</v>
      </c>
      <c r="F14" s="131" t="s">
        <v>97</v>
      </c>
      <c r="G14" s="131" t="s">
        <v>125</v>
      </c>
      <c r="H14" s="131" t="s">
        <v>109</v>
      </c>
      <c r="I14" s="132">
        <v>8.0</v>
      </c>
      <c r="J14" s="131" t="s">
        <v>100</v>
      </c>
      <c r="K14" s="131" t="s">
        <v>138</v>
      </c>
      <c r="L14" s="131" t="s">
        <v>111</v>
      </c>
      <c r="M14" s="131" t="s">
        <v>112</v>
      </c>
      <c r="N14" s="131" t="s">
        <v>134</v>
      </c>
    </row>
    <row r="15" ht="22.5" customHeight="1">
      <c r="A15" s="130" t="s">
        <v>161</v>
      </c>
      <c r="B15" s="131" t="s">
        <v>162</v>
      </c>
      <c r="C15" s="131" t="s">
        <v>124</v>
      </c>
      <c r="D15" s="131" t="s">
        <v>116</v>
      </c>
      <c r="E15" s="131" t="s">
        <v>117</v>
      </c>
      <c r="F15" s="131" t="s">
        <v>97</v>
      </c>
      <c r="G15" s="131" t="s">
        <v>125</v>
      </c>
      <c r="H15" s="131" t="s">
        <v>109</v>
      </c>
      <c r="I15" s="132">
        <v>3.0</v>
      </c>
      <c r="J15" s="131" t="s">
        <v>163</v>
      </c>
      <c r="K15" s="131" t="s">
        <v>164</v>
      </c>
      <c r="L15" s="131" t="s">
        <v>111</v>
      </c>
      <c r="M15" s="131" t="s">
        <v>112</v>
      </c>
      <c r="N15" s="131" t="s">
        <v>165</v>
      </c>
    </row>
    <row r="16" ht="22.5" customHeight="1">
      <c r="A16" s="130" t="s">
        <v>166</v>
      </c>
      <c r="B16" s="131" t="s">
        <v>167</v>
      </c>
      <c r="C16" s="131" t="s">
        <v>148</v>
      </c>
      <c r="D16" s="131" t="s">
        <v>137</v>
      </c>
      <c r="E16" s="131" t="s">
        <v>107</v>
      </c>
      <c r="F16" s="131" t="s">
        <v>97</v>
      </c>
      <c r="G16" s="131" t="s">
        <v>98</v>
      </c>
      <c r="H16" s="131" t="s">
        <v>99</v>
      </c>
      <c r="I16" s="132">
        <v>6.0</v>
      </c>
      <c r="J16" s="131" t="s">
        <v>126</v>
      </c>
      <c r="K16" s="131" t="s">
        <v>138</v>
      </c>
      <c r="L16" s="131" t="s">
        <v>102</v>
      </c>
      <c r="M16" s="131" t="s">
        <v>102</v>
      </c>
      <c r="N16" s="131" t="s">
        <v>113</v>
      </c>
    </row>
    <row r="17" ht="22.5" customHeight="1">
      <c r="A17" s="130" t="s">
        <v>168</v>
      </c>
      <c r="B17" s="131" t="s">
        <v>169</v>
      </c>
      <c r="C17" s="131" t="s">
        <v>106</v>
      </c>
      <c r="D17" s="131" t="s">
        <v>95</v>
      </c>
      <c r="E17" s="131" t="s">
        <v>107</v>
      </c>
      <c r="F17" s="131" t="s">
        <v>118</v>
      </c>
      <c r="G17" s="131" t="s">
        <v>98</v>
      </c>
      <c r="H17" s="131" t="s">
        <v>109</v>
      </c>
      <c r="I17" s="132">
        <v>5.0</v>
      </c>
      <c r="J17" s="131" t="s">
        <v>156</v>
      </c>
      <c r="K17" s="131" t="s">
        <v>170</v>
      </c>
      <c r="L17" s="131" t="s">
        <v>102</v>
      </c>
      <c r="M17" s="131" t="s">
        <v>112</v>
      </c>
      <c r="N17" s="131" t="s">
        <v>128</v>
      </c>
    </row>
    <row r="18" ht="22.5" customHeight="1">
      <c r="A18" s="130" t="s">
        <v>171</v>
      </c>
      <c r="B18" s="131" t="s">
        <v>172</v>
      </c>
      <c r="C18" s="131" t="s">
        <v>152</v>
      </c>
      <c r="D18" s="131" t="s">
        <v>137</v>
      </c>
      <c r="E18" s="131" t="s">
        <v>131</v>
      </c>
      <c r="F18" s="131" t="s">
        <v>97</v>
      </c>
      <c r="G18" s="131" t="s">
        <v>98</v>
      </c>
      <c r="H18" s="131" t="s">
        <v>109</v>
      </c>
      <c r="I18" s="132">
        <v>2.0</v>
      </c>
      <c r="J18" s="131" t="s">
        <v>156</v>
      </c>
      <c r="K18" s="131" t="s">
        <v>173</v>
      </c>
      <c r="L18" s="131" t="s">
        <v>111</v>
      </c>
      <c r="M18" s="131" t="s">
        <v>102</v>
      </c>
      <c r="N18" s="131" t="s">
        <v>103</v>
      </c>
    </row>
    <row r="19" ht="22.5" customHeight="1">
      <c r="A19" s="130" t="s">
        <v>174</v>
      </c>
      <c r="B19" s="131" t="s">
        <v>175</v>
      </c>
      <c r="C19" s="131" t="s">
        <v>94</v>
      </c>
      <c r="D19" s="131" t="s">
        <v>137</v>
      </c>
      <c r="E19" s="131" t="s">
        <v>96</v>
      </c>
      <c r="F19" s="131" t="s">
        <v>97</v>
      </c>
      <c r="G19" s="131" t="s">
        <v>98</v>
      </c>
      <c r="H19" s="131" t="s">
        <v>99</v>
      </c>
      <c r="I19" s="132">
        <v>8.0</v>
      </c>
      <c r="J19" s="131" t="s">
        <v>100</v>
      </c>
      <c r="K19" s="131" t="s">
        <v>101</v>
      </c>
      <c r="L19" s="131" t="s">
        <v>102</v>
      </c>
      <c r="M19" s="131" t="s">
        <v>112</v>
      </c>
      <c r="N19" s="131" t="s">
        <v>165</v>
      </c>
    </row>
    <row r="20" ht="22.5" customHeight="1">
      <c r="A20" s="130" t="s">
        <v>176</v>
      </c>
      <c r="B20" s="131" t="s">
        <v>177</v>
      </c>
      <c r="C20" s="131" t="s">
        <v>106</v>
      </c>
      <c r="D20" s="131" t="s">
        <v>95</v>
      </c>
      <c r="E20" s="131" t="s">
        <v>117</v>
      </c>
      <c r="F20" s="131" t="s">
        <v>108</v>
      </c>
      <c r="G20" s="131" t="s">
        <v>98</v>
      </c>
      <c r="H20" s="131" t="s">
        <v>99</v>
      </c>
      <c r="I20" s="132">
        <v>6.0</v>
      </c>
      <c r="J20" s="131" t="s">
        <v>100</v>
      </c>
      <c r="K20" s="131" t="s">
        <v>120</v>
      </c>
      <c r="L20" s="131" t="s">
        <v>102</v>
      </c>
      <c r="M20" s="131" t="s">
        <v>102</v>
      </c>
      <c r="N20" s="131" t="s">
        <v>139</v>
      </c>
    </row>
    <row r="21" ht="22.5" customHeight="1">
      <c r="A21" s="130" t="s">
        <v>178</v>
      </c>
      <c r="B21" s="131" t="s">
        <v>179</v>
      </c>
      <c r="C21" s="131" t="s">
        <v>152</v>
      </c>
      <c r="D21" s="131" t="s">
        <v>137</v>
      </c>
      <c r="E21" s="131" t="s">
        <v>131</v>
      </c>
      <c r="F21" s="131" t="s">
        <v>118</v>
      </c>
      <c r="G21" s="131" t="s">
        <v>98</v>
      </c>
      <c r="H21" s="131" t="s">
        <v>99</v>
      </c>
      <c r="I21" s="132">
        <v>2.0</v>
      </c>
      <c r="J21" s="131" t="s">
        <v>126</v>
      </c>
      <c r="K21" s="131" t="s">
        <v>133</v>
      </c>
      <c r="L21" s="131" t="s">
        <v>112</v>
      </c>
      <c r="M21" s="131" t="s">
        <v>112</v>
      </c>
      <c r="N21" s="131" t="s">
        <v>165</v>
      </c>
    </row>
    <row r="22" ht="22.5" customHeight="1">
      <c r="A22" s="130" t="s">
        <v>180</v>
      </c>
      <c r="B22" s="131" t="s">
        <v>181</v>
      </c>
      <c r="C22" s="131" t="s">
        <v>106</v>
      </c>
      <c r="D22" s="131" t="s">
        <v>95</v>
      </c>
      <c r="E22" s="131" t="s">
        <v>96</v>
      </c>
      <c r="F22" s="131" t="s">
        <v>97</v>
      </c>
      <c r="G22" s="131" t="s">
        <v>98</v>
      </c>
      <c r="H22" s="131" t="s">
        <v>109</v>
      </c>
      <c r="I22" s="132">
        <v>5.0</v>
      </c>
      <c r="J22" s="131" t="s">
        <v>100</v>
      </c>
      <c r="K22" s="131" t="s">
        <v>145</v>
      </c>
      <c r="L22" s="131" t="s">
        <v>102</v>
      </c>
      <c r="M22" s="131" t="s">
        <v>102</v>
      </c>
      <c r="N22" s="131" t="s">
        <v>165</v>
      </c>
    </row>
    <row r="23" ht="22.5" customHeight="1">
      <c r="A23" s="130" t="s">
        <v>182</v>
      </c>
      <c r="B23" s="131" t="s">
        <v>183</v>
      </c>
      <c r="C23" s="131" t="s">
        <v>148</v>
      </c>
      <c r="D23" s="131" t="s">
        <v>116</v>
      </c>
      <c r="E23" s="131" t="s">
        <v>131</v>
      </c>
      <c r="F23" s="131" t="s">
        <v>97</v>
      </c>
      <c r="G23" s="131" t="s">
        <v>125</v>
      </c>
      <c r="H23" s="131" t="s">
        <v>99</v>
      </c>
      <c r="I23" s="132">
        <v>1.0</v>
      </c>
      <c r="J23" s="131" t="s">
        <v>163</v>
      </c>
      <c r="K23" s="131" t="s">
        <v>120</v>
      </c>
      <c r="L23" s="131" t="s">
        <v>111</v>
      </c>
      <c r="M23" s="131" t="s">
        <v>102</v>
      </c>
      <c r="N23" s="131" t="s">
        <v>139</v>
      </c>
    </row>
    <row r="24" ht="22.5" customHeight="1">
      <c r="A24" s="130" t="s">
        <v>184</v>
      </c>
      <c r="B24" s="131" t="s">
        <v>185</v>
      </c>
      <c r="C24" s="131" t="s">
        <v>94</v>
      </c>
      <c r="D24" s="131" t="s">
        <v>116</v>
      </c>
      <c r="E24" s="131" t="s">
        <v>131</v>
      </c>
      <c r="F24" s="131" t="s">
        <v>108</v>
      </c>
      <c r="G24" s="131" t="s">
        <v>125</v>
      </c>
      <c r="H24" s="131" t="s">
        <v>99</v>
      </c>
      <c r="I24" s="132">
        <v>10.0</v>
      </c>
      <c r="J24" s="131" t="s">
        <v>100</v>
      </c>
      <c r="K24" s="131" t="s">
        <v>133</v>
      </c>
      <c r="L24" s="131" t="s">
        <v>102</v>
      </c>
      <c r="M24" s="131" t="s">
        <v>112</v>
      </c>
      <c r="N24" s="131" t="s">
        <v>128</v>
      </c>
    </row>
    <row r="25" ht="22.5" customHeight="1">
      <c r="A25" s="130" t="s">
        <v>186</v>
      </c>
      <c r="B25" s="131" t="s">
        <v>187</v>
      </c>
      <c r="C25" s="131" t="s">
        <v>124</v>
      </c>
      <c r="D25" s="131" t="s">
        <v>137</v>
      </c>
      <c r="E25" s="131" t="s">
        <v>131</v>
      </c>
      <c r="F25" s="131" t="s">
        <v>108</v>
      </c>
      <c r="G25" s="131" t="s">
        <v>125</v>
      </c>
      <c r="H25" s="131" t="s">
        <v>99</v>
      </c>
      <c r="I25" s="132">
        <v>6.0</v>
      </c>
      <c r="J25" s="131" t="s">
        <v>156</v>
      </c>
      <c r="K25" s="131" t="s">
        <v>120</v>
      </c>
      <c r="L25" s="131" t="s">
        <v>112</v>
      </c>
      <c r="M25" s="131" t="s">
        <v>102</v>
      </c>
      <c r="N25" s="131" t="s">
        <v>103</v>
      </c>
    </row>
    <row r="26" ht="22.5" customHeight="1">
      <c r="A26" s="130" t="s">
        <v>188</v>
      </c>
      <c r="B26" s="131" t="s">
        <v>189</v>
      </c>
      <c r="C26" s="131" t="s">
        <v>148</v>
      </c>
      <c r="D26" s="131" t="s">
        <v>95</v>
      </c>
      <c r="E26" s="131" t="s">
        <v>96</v>
      </c>
      <c r="F26" s="131" t="s">
        <v>97</v>
      </c>
      <c r="G26" s="131" t="s">
        <v>119</v>
      </c>
      <c r="H26" s="131" t="s">
        <v>132</v>
      </c>
      <c r="I26" s="132">
        <v>9.0</v>
      </c>
      <c r="J26" s="131" t="s">
        <v>100</v>
      </c>
      <c r="K26" s="131" t="s">
        <v>190</v>
      </c>
      <c r="L26" s="131" t="s">
        <v>112</v>
      </c>
      <c r="M26" s="131" t="s">
        <v>112</v>
      </c>
      <c r="N26" s="131" t="s">
        <v>113</v>
      </c>
    </row>
    <row r="27" ht="22.5" customHeight="1">
      <c r="A27" s="130" t="s">
        <v>191</v>
      </c>
      <c r="B27" s="131" t="s">
        <v>192</v>
      </c>
      <c r="C27" s="131" t="s">
        <v>148</v>
      </c>
      <c r="D27" s="131" t="s">
        <v>137</v>
      </c>
      <c r="E27" s="131" t="s">
        <v>107</v>
      </c>
      <c r="F27" s="131" t="s">
        <v>97</v>
      </c>
      <c r="G27" s="131" t="s">
        <v>119</v>
      </c>
      <c r="H27" s="131" t="s">
        <v>99</v>
      </c>
      <c r="I27" s="132">
        <v>1.0</v>
      </c>
      <c r="J27" s="131" t="s">
        <v>126</v>
      </c>
      <c r="K27" s="131" t="s">
        <v>145</v>
      </c>
      <c r="L27" s="131" t="s">
        <v>112</v>
      </c>
      <c r="M27" s="131" t="s">
        <v>102</v>
      </c>
      <c r="N27" s="131" t="s">
        <v>121</v>
      </c>
    </row>
    <row r="28" ht="22.5" customHeight="1">
      <c r="A28" s="130" t="s">
        <v>193</v>
      </c>
      <c r="B28" s="131" t="s">
        <v>194</v>
      </c>
      <c r="C28" s="131" t="s">
        <v>106</v>
      </c>
      <c r="D28" s="131" t="s">
        <v>116</v>
      </c>
      <c r="E28" s="131" t="s">
        <v>96</v>
      </c>
      <c r="F28" s="131" t="s">
        <v>108</v>
      </c>
      <c r="G28" s="131" t="s">
        <v>119</v>
      </c>
      <c r="H28" s="131" t="s">
        <v>99</v>
      </c>
      <c r="I28" s="132">
        <v>10.0</v>
      </c>
      <c r="J28" s="131" t="s">
        <v>100</v>
      </c>
      <c r="K28" s="131" t="s">
        <v>101</v>
      </c>
      <c r="L28" s="131" t="s">
        <v>112</v>
      </c>
      <c r="M28" s="131" t="s">
        <v>102</v>
      </c>
      <c r="N28" s="131" t="s">
        <v>113</v>
      </c>
    </row>
    <row r="29" ht="22.5" customHeight="1">
      <c r="A29" s="130" t="s">
        <v>195</v>
      </c>
      <c r="B29" s="131" t="s">
        <v>196</v>
      </c>
      <c r="C29" s="131" t="s">
        <v>124</v>
      </c>
      <c r="D29" s="131" t="s">
        <v>95</v>
      </c>
      <c r="E29" s="131" t="s">
        <v>96</v>
      </c>
      <c r="F29" s="131" t="s">
        <v>97</v>
      </c>
      <c r="G29" s="131" t="s">
        <v>125</v>
      </c>
      <c r="H29" s="131" t="s">
        <v>109</v>
      </c>
      <c r="I29" s="132">
        <v>3.0</v>
      </c>
      <c r="J29" s="131" t="s">
        <v>153</v>
      </c>
      <c r="K29" s="131" t="s">
        <v>120</v>
      </c>
      <c r="L29" s="131" t="s">
        <v>102</v>
      </c>
      <c r="M29" s="131" t="s">
        <v>102</v>
      </c>
      <c r="N29" s="131" t="s">
        <v>113</v>
      </c>
    </row>
    <row r="30" ht="22.5" customHeight="1">
      <c r="A30" s="130" t="s">
        <v>197</v>
      </c>
      <c r="B30" s="131" t="s">
        <v>198</v>
      </c>
      <c r="C30" s="131" t="s">
        <v>124</v>
      </c>
      <c r="D30" s="131" t="s">
        <v>116</v>
      </c>
      <c r="E30" s="131" t="s">
        <v>131</v>
      </c>
      <c r="F30" s="131" t="s">
        <v>118</v>
      </c>
      <c r="G30" s="131" t="s">
        <v>98</v>
      </c>
      <c r="H30" s="131" t="s">
        <v>99</v>
      </c>
      <c r="I30" s="132">
        <v>7.0</v>
      </c>
      <c r="J30" s="131" t="s">
        <v>100</v>
      </c>
      <c r="K30" s="131" t="s">
        <v>145</v>
      </c>
      <c r="L30" s="131" t="s">
        <v>102</v>
      </c>
      <c r="M30" s="131" t="s">
        <v>102</v>
      </c>
      <c r="N30" s="131" t="s">
        <v>103</v>
      </c>
    </row>
    <row r="31" ht="22.5" customHeight="1">
      <c r="A31" s="130" t="s">
        <v>199</v>
      </c>
      <c r="B31" s="131" t="s">
        <v>200</v>
      </c>
      <c r="C31" s="131" t="s">
        <v>124</v>
      </c>
      <c r="D31" s="131" t="s">
        <v>116</v>
      </c>
      <c r="E31" s="131" t="s">
        <v>117</v>
      </c>
      <c r="F31" s="131" t="s">
        <v>108</v>
      </c>
      <c r="G31" s="131" t="s">
        <v>125</v>
      </c>
      <c r="H31" s="131" t="s">
        <v>99</v>
      </c>
      <c r="I31" s="132">
        <v>4.0</v>
      </c>
      <c r="J31" s="131" t="s">
        <v>163</v>
      </c>
      <c r="K31" s="131" t="s">
        <v>138</v>
      </c>
      <c r="L31" s="131" t="s">
        <v>112</v>
      </c>
      <c r="M31" s="131" t="s">
        <v>102</v>
      </c>
      <c r="N31" s="131" t="s">
        <v>134</v>
      </c>
    </row>
    <row r="32" ht="22.5" customHeight="1">
      <c r="A32" s="130" t="s">
        <v>201</v>
      </c>
      <c r="B32" s="131" t="s">
        <v>202</v>
      </c>
      <c r="C32" s="131" t="s">
        <v>124</v>
      </c>
      <c r="D32" s="131" t="s">
        <v>137</v>
      </c>
      <c r="E32" s="131" t="s">
        <v>131</v>
      </c>
      <c r="F32" s="131" t="s">
        <v>118</v>
      </c>
      <c r="G32" s="131" t="s">
        <v>98</v>
      </c>
      <c r="H32" s="131" t="s">
        <v>109</v>
      </c>
      <c r="I32" s="132">
        <v>9.0</v>
      </c>
      <c r="J32" s="131" t="s">
        <v>100</v>
      </c>
      <c r="K32" s="131" t="s">
        <v>203</v>
      </c>
      <c r="L32" s="131" t="s">
        <v>102</v>
      </c>
      <c r="M32" s="131" t="s">
        <v>102</v>
      </c>
      <c r="N32" s="131" t="s">
        <v>165</v>
      </c>
    </row>
    <row r="33" ht="22.5" customHeight="1">
      <c r="A33" s="130" t="s">
        <v>204</v>
      </c>
      <c r="B33" s="131" t="s">
        <v>205</v>
      </c>
      <c r="C33" s="131" t="s">
        <v>124</v>
      </c>
      <c r="D33" s="131" t="s">
        <v>137</v>
      </c>
      <c r="E33" s="131" t="s">
        <v>131</v>
      </c>
      <c r="F33" s="131" t="s">
        <v>97</v>
      </c>
      <c r="G33" s="131" t="s">
        <v>98</v>
      </c>
      <c r="H33" s="131" t="s">
        <v>109</v>
      </c>
      <c r="I33" s="132">
        <v>3.0</v>
      </c>
      <c r="J33" s="131" t="s">
        <v>153</v>
      </c>
      <c r="K33" s="131" t="s">
        <v>190</v>
      </c>
      <c r="L33" s="131" t="s">
        <v>112</v>
      </c>
      <c r="M33" s="131" t="s">
        <v>112</v>
      </c>
      <c r="N33" s="131" t="s">
        <v>139</v>
      </c>
    </row>
    <row r="34" ht="22.5" customHeight="1">
      <c r="A34" s="130" t="s">
        <v>206</v>
      </c>
      <c r="B34" s="131" t="s">
        <v>207</v>
      </c>
      <c r="C34" s="131" t="s">
        <v>148</v>
      </c>
      <c r="D34" s="131" t="s">
        <v>137</v>
      </c>
      <c r="E34" s="131" t="s">
        <v>107</v>
      </c>
      <c r="F34" s="131" t="s">
        <v>97</v>
      </c>
      <c r="G34" s="131" t="s">
        <v>119</v>
      </c>
      <c r="H34" s="131" t="s">
        <v>99</v>
      </c>
      <c r="I34" s="132">
        <v>5.0</v>
      </c>
      <c r="J34" s="131" t="s">
        <v>156</v>
      </c>
      <c r="K34" s="131" t="s">
        <v>120</v>
      </c>
      <c r="L34" s="131" t="s">
        <v>111</v>
      </c>
      <c r="M34" s="131" t="s">
        <v>112</v>
      </c>
      <c r="N34" s="131" t="s">
        <v>121</v>
      </c>
    </row>
    <row r="35" ht="22.5" customHeight="1">
      <c r="A35" s="130" t="s">
        <v>208</v>
      </c>
      <c r="B35" s="131" t="s">
        <v>209</v>
      </c>
      <c r="C35" s="131" t="s">
        <v>124</v>
      </c>
      <c r="D35" s="131" t="s">
        <v>137</v>
      </c>
      <c r="E35" s="131" t="s">
        <v>107</v>
      </c>
      <c r="F35" s="131" t="s">
        <v>118</v>
      </c>
      <c r="G35" s="131" t="s">
        <v>125</v>
      </c>
      <c r="H35" s="131" t="s">
        <v>99</v>
      </c>
      <c r="I35" s="132">
        <v>3.0</v>
      </c>
      <c r="J35" s="131" t="s">
        <v>126</v>
      </c>
      <c r="K35" s="131" t="s">
        <v>127</v>
      </c>
      <c r="L35" s="131" t="s">
        <v>111</v>
      </c>
      <c r="M35" s="131" t="s">
        <v>102</v>
      </c>
      <c r="N35" s="131" t="s">
        <v>121</v>
      </c>
    </row>
    <row r="36" ht="22.5" customHeight="1">
      <c r="A36" s="130" t="s">
        <v>210</v>
      </c>
      <c r="B36" s="131" t="s">
        <v>211</v>
      </c>
      <c r="C36" s="131" t="s">
        <v>152</v>
      </c>
      <c r="D36" s="131" t="s">
        <v>95</v>
      </c>
      <c r="E36" s="131" t="s">
        <v>96</v>
      </c>
      <c r="F36" s="131" t="s">
        <v>108</v>
      </c>
      <c r="G36" s="131" t="s">
        <v>119</v>
      </c>
      <c r="H36" s="131" t="s">
        <v>109</v>
      </c>
      <c r="I36" s="132">
        <v>7.0</v>
      </c>
      <c r="J36" s="131" t="s">
        <v>100</v>
      </c>
      <c r="K36" s="131" t="s">
        <v>212</v>
      </c>
      <c r="L36" s="131" t="s">
        <v>112</v>
      </c>
      <c r="M36" s="131" t="s">
        <v>112</v>
      </c>
      <c r="N36" s="131" t="s">
        <v>139</v>
      </c>
    </row>
    <row r="37" ht="22.5" customHeight="1">
      <c r="A37" s="130" t="s">
        <v>213</v>
      </c>
      <c r="B37" s="131" t="s">
        <v>214</v>
      </c>
      <c r="C37" s="131" t="s">
        <v>124</v>
      </c>
      <c r="D37" s="131" t="s">
        <v>116</v>
      </c>
      <c r="E37" s="131" t="s">
        <v>131</v>
      </c>
      <c r="F37" s="131" t="s">
        <v>97</v>
      </c>
      <c r="G37" s="131" t="s">
        <v>119</v>
      </c>
      <c r="H37" s="131" t="s">
        <v>109</v>
      </c>
      <c r="I37" s="132">
        <v>5.0</v>
      </c>
      <c r="J37" s="131" t="s">
        <v>153</v>
      </c>
      <c r="K37" s="131" t="s">
        <v>145</v>
      </c>
      <c r="L37" s="131" t="s">
        <v>112</v>
      </c>
      <c r="M37" s="131" t="s">
        <v>102</v>
      </c>
      <c r="N37" s="131" t="s">
        <v>142</v>
      </c>
    </row>
    <row r="38" ht="22.5" customHeight="1">
      <c r="A38" s="130" t="s">
        <v>215</v>
      </c>
      <c r="B38" s="131" t="s">
        <v>216</v>
      </c>
      <c r="C38" s="131" t="s">
        <v>124</v>
      </c>
      <c r="D38" s="131" t="s">
        <v>95</v>
      </c>
      <c r="E38" s="131" t="s">
        <v>117</v>
      </c>
      <c r="F38" s="131" t="s">
        <v>108</v>
      </c>
      <c r="G38" s="131" t="s">
        <v>125</v>
      </c>
      <c r="H38" s="131" t="s">
        <v>109</v>
      </c>
      <c r="I38" s="132">
        <v>9.0</v>
      </c>
      <c r="J38" s="131" t="s">
        <v>100</v>
      </c>
      <c r="K38" s="131" t="s">
        <v>164</v>
      </c>
      <c r="L38" s="131" t="s">
        <v>102</v>
      </c>
      <c r="M38" s="131" t="s">
        <v>112</v>
      </c>
      <c r="N38" s="131" t="s">
        <v>134</v>
      </c>
    </row>
    <row r="39" ht="22.5" customHeight="1">
      <c r="A39" s="130" t="s">
        <v>217</v>
      </c>
      <c r="B39" s="131" t="s">
        <v>218</v>
      </c>
      <c r="C39" s="131" t="s">
        <v>94</v>
      </c>
      <c r="D39" s="131" t="s">
        <v>137</v>
      </c>
      <c r="E39" s="131" t="s">
        <v>96</v>
      </c>
      <c r="F39" s="131" t="s">
        <v>97</v>
      </c>
      <c r="G39" s="131" t="s">
        <v>98</v>
      </c>
      <c r="H39" s="131" t="s">
        <v>109</v>
      </c>
      <c r="I39" s="132">
        <v>7.0</v>
      </c>
      <c r="J39" s="131" t="s">
        <v>100</v>
      </c>
      <c r="K39" s="131" t="s">
        <v>138</v>
      </c>
      <c r="L39" s="131" t="s">
        <v>102</v>
      </c>
      <c r="M39" s="131" t="s">
        <v>102</v>
      </c>
      <c r="N39" s="131" t="s">
        <v>128</v>
      </c>
    </row>
    <row r="40" ht="22.5" customHeight="1">
      <c r="A40" s="130" t="s">
        <v>219</v>
      </c>
      <c r="B40" s="131" t="s">
        <v>220</v>
      </c>
      <c r="C40" s="131" t="s">
        <v>152</v>
      </c>
      <c r="D40" s="131" t="s">
        <v>116</v>
      </c>
      <c r="E40" s="131" t="s">
        <v>107</v>
      </c>
      <c r="F40" s="131" t="s">
        <v>118</v>
      </c>
      <c r="G40" s="131" t="s">
        <v>119</v>
      </c>
      <c r="H40" s="131" t="s">
        <v>132</v>
      </c>
      <c r="I40" s="132">
        <v>2.0</v>
      </c>
      <c r="J40" s="131" t="s">
        <v>100</v>
      </c>
      <c r="K40" s="131" t="s">
        <v>101</v>
      </c>
      <c r="L40" s="131" t="s">
        <v>112</v>
      </c>
      <c r="M40" s="131" t="s">
        <v>112</v>
      </c>
      <c r="N40" s="131" t="s">
        <v>128</v>
      </c>
    </row>
    <row r="41" ht="22.5" customHeight="1">
      <c r="A41" s="130" t="s">
        <v>221</v>
      </c>
      <c r="B41" s="131" t="s">
        <v>222</v>
      </c>
      <c r="C41" s="131" t="s">
        <v>106</v>
      </c>
      <c r="D41" s="131" t="s">
        <v>116</v>
      </c>
      <c r="E41" s="131" t="s">
        <v>107</v>
      </c>
      <c r="F41" s="131" t="s">
        <v>97</v>
      </c>
      <c r="G41" s="131" t="s">
        <v>119</v>
      </c>
      <c r="H41" s="131" t="s">
        <v>99</v>
      </c>
      <c r="I41" s="132">
        <v>4.0</v>
      </c>
      <c r="J41" s="131" t="s">
        <v>100</v>
      </c>
      <c r="K41" s="131" t="s">
        <v>127</v>
      </c>
      <c r="L41" s="131" t="s">
        <v>102</v>
      </c>
      <c r="M41" s="131" t="s">
        <v>102</v>
      </c>
      <c r="N41" s="131" t="s">
        <v>165</v>
      </c>
    </row>
    <row r="42" ht="22.5" customHeight="1">
      <c r="A42" s="130" t="s">
        <v>223</v>
      </c>
      <c r="B42" s="131" t="s">
        <v>224</v>
      </c>
      <c r="C42" s="131" t="s">
        <v>106</v>
      </c>
      <c r="D42" s="131" t="s">
        <v>137</v>
      </c>
      <c r="E42" s="131" t="s">
        <v>96</v>
      </c>
      <c r="F42" s="131" t="s">
        <v>118</v>
      </c>
      <c r="G42" s="131" t="s">
        <v>125</v>
      </c>
      <c r="H42" s="131" t="s">
        <v>132</v>
      </c>
      <c r="I42" s="132">
        <v>9.0</v>
      </c>
      <c r="J42" s="131" t="s">
        <v>100</v>
      </c>
      <c r="K42" s="131" t="s">
        <v>170</v>
      </c>
      <c r="L42" s="131" t="s">
        <v>112</v>
      </c>
      <c r="M42" s="131" t="s">
        <v>112</v>
      </c>
      <c r="N42" s="131" t="s">
        <v>142</v>
      </c>
    </row>
    <row r="43" ht="22.5" customHeight="1">
      <c r="A43" s="130" t="s">
        <v>225</v>
      </c>
      <c r="B43" s="131" t="s">
        <v>226</v>
      </c>
      <c r="C43" s="131" t="s">
        <v>106</v>
      </c>
      <c r="D43" s="131" t="s">
        <v>116</v>
      </c>
      <c r="E43" s="131" t="s">
        <v>96</v>
      </c>
      <c r="F43" s="131" t="s">
        <v>108</v>
      </c>
      <c r="G43" s="131" t="s">
        <v>119</v>
      </c>
      <c r="H43" s="131" t="s">
        <v>109</v>
      </c>
      <c r="I43" s="132">
        <v>2.0</v>
      </c>
      <c r="J43" s="131" t="s">
        <v>156</v>
      </c>
      <c r="K43" s="131" t="s">
        <v>127</v>
      </c>
      <c r="L43" s="131" t="s">
        <v>112</v>
      </c>
      <c r="M43" s="131" t="s">
        <v>102</v>
      </c>
      <c r="N43" s="131" t="s">
        <v>142</v>
      </c>
    </row>
    <row r="44" ht="22.5" customHeight="1">
      <c r="A44" s="130" t="s">
        <v>227</v>
      </c>
      <c r="B44" s="131" t="s">
        <v>228</v>
      </c>
      <c r="C44" s="131" t="s">
        <v>124</v>
      </c>
      <c r="D44" s="131" t="s">
        <v>137</v>
      </c>
      <c r="E44" s="131" t="s">
        <v>107</v>
      </c>
      <c r="F44" s="131" t="s">
        <v>97</v>
      </c>
      <c r="G44" s="131" t="s">
        <v>98</v>
      </c>
      <c r="H44" s="131" t="s">
        <v>99</v>
      </c>
      <c r="I44" s="132">
        <v>10.0</v>
      </c>
      <c r="J44" s="131" t="s">
        <v>100</v>
      </c>
      <c r="K44" s="131" t="s">
        <v>120</v>
      </c>
      <c r="L44" s="131" t="s">
        <v>112</v>
      </c>
      <c r="M44" s="131" t="s">
        <v>112</v>
      </c>
      <c r="N44" s="131" t="s">
        <v>121</v>
      </c>
    </row>
    <row r="45" ht="22.5" customHeight="1">
      <c r="A45" s="130" t="s">
        <v>229</v>
      </c>
      <c r="B45" s="131" t="s">
        <v>230</v>
      </c>
      <c r="C45" s="131" t="s">
        <v>148</v>
      </c>
      <c r="D45" s="131" t="s">
        <v>137</v>
      </c>
      <c r="E45" s="131" t="s">
        <v>117</v>
      </c>
      <c r="F45" s="131" t="s">
        <v>97</v>
      </c>
      <c r="G45" s="131" t="s">
        <v>98</v>
      </c>
      <c r="H45" s="131" t="s">
        <v>132</v>
      </c>
      <c r="I45" s="132">
        <v>9.0</v>
      </c>
      <c r="J45" s="131" t="s">
        <v>100</v>
      </c>
      <c r="K45" s="131" t="s">
        <v>101</v>
      </c>
      <c r="L45" s="131" t="s">
        <v>112</v>
      </c>
      <c r="M45" s="131" t="s">
        <v>102</v>
      </c>
      <c r="N45" s="131" t="s">
        <v>121</v>
      </c>
    </row>
    <row r="46" ht="22.5" customHeight="1">
      <c r="A46" s="130" t="s">
        <v>231</v>
      </c>
      <c r="B46" s="131" t="s">
        <v>232</v>
      </c>
      <c r="C46" s="131" t="s">
        <v>124</v>
      </c>
      <c r="D46" s="131" t="s">
        <v>137</v>
      </c>
      <c r="E46" s="131" t="s">
        <v>117</v>
      </c>
      <c r="F46" s="131" t="s">
        <v>108</v>
      </c>
      <c r="G46" s="131" t="s">
        <v>125</v>
      </c>
      <c r="H46" s="131" t="s">
        <v>109</v>
      </c>
      <c r="I46" s="132">
        <v>10.0</v>
      </c>
      <c r="J46" s="131" t="s">
        <v>100</v>
      </c>
      <c r="K46" s="131" t="s">
        <v>110</v>
      </c>
      <c r="L46" s="131" t="s">
        <v>112</v>
      </c>
      <c r="M46" s="131" t="s">
        <v>112</v>
      </c>
      <c r="N46" s="131" t="s">
        <v>113</v>
      </c>
    </row>
    <row r="47" ht="22.5" customHeight="1">
      <c r="A47" s="130" t="s">
        <v>233</v>
      </c>
      <c r="B47" s="131" t="s">
        <v>234</v>
      </c>
      <c r="C47" s="131" t="s">
        <v>152</v>
      </c>
      <c r="D47" s="131" t="s">
        <v>137</v>
      </c>
      <c r="E47" s="131" t="s">
        <v>117</v>
      </c>
      <c r="F47" s="131" t="s">
        <v>108</v>
      </c>
      <c r="G47" s="131" t="s">
        <v>98</v>
      </c>
      <c r="H47" s="131" t="s">
        <v>132</v>
      </c>
      <c r="I47" s="132">
        <v>5.0</v>
      </c>
      <c r="J47" s="131" t="s">
        <v>163</v>
      </c>
      <c r="K47" s="131" t="s">
        <v>101</v>
      </c>
      <c r="L47" s="131" t="s">
        <v>111</v>
      </c>
      <c r="M47" s="131" t="s">
        <v>102</v>
      </c>
      <c r="N47" s="131" t="s">
        <v>103</v>
      </c>
    </row>
    <row r="48" ht="22.5" customHeight="1">
      <c r="A48" s="130" t="s">
        <v>235</v>
      </c>
      <c r="B48" s="131" t="s">
        <v>236</v>
      </c>
      <c r="C48" s="131" t="s">
        <v>152</v>
      </c>
      <c r="D48" s="131" t="s">
        <v>95</v>
      </c>
      <c r="E48" s="131" t="s">
        <v>117</v>
      </c>
      <c r="F48" s="131" t="s">
        <v>97</v>
      </c>
      <c r="G48" s="131" t="s">
        <v>98</v>
      </c>
      <c r="H48" s="131" t="s">
        <v>99</v>
      </c>
      <c r="I48" s="132">
        <v>2.0</v>
      </c>
      <c r="J48" s="131" t="s">
        <v>156</v>
      </c>
      <c r="K48" s="131" t="s">
        <v>101</v>
      </c>
      <c r="L48" s="131" t="s">
        <v>112</v>
      </c>
      <c r="M48" s="131" t="s">
        <v>112</v>
      </c>
      <c r="N48" s="131" t="s">
        <v>139</v>
      </c>
    </row>
    <row r="49" ht="22.5" customHeight="1">
      <c r="A49" s="130" t="s">
        <v>237</v>
      </c>
      <c r="B49" s="131" t="s">
        <v>238</v>
      </c>
      <c r="C49" s="131" t="s">
        <v>124</v>
      </c>
      <c r="D49" s="131" t="s">
        <v>137</v>
      </c>
      <c r="E49" s="131" t="s">
        <v>96</v>
      </c>
      <c r="F49" s="131" t="s">
        <v>97</v>
      </c>
      <c r="G49" s="131" t="s">
        <v>119</v>
      </c>
      <c r="H49" s="131" t="s">
        <v>99</v>
      </c>
      <c r="I49" s="132">
        <v>4.0</v>
      </c>
      <c r="J49" s="131" t="s">
        <v>100</v>
      </c>
      <c r="K49" s="131" t="s">
        <v>145</v>
      </c>
      <c r="L49" s="131" t="s">
        <v>102</v>
      </c>
      <c r="M49" s="131" t="s">
        <v>102</v>
      </c>
      <c r="N49" s="131" t="s">
        <v>113</v>
      </c>
    </row>
    <row r="50" ht="22.5" customHeight="1">
      <c r="A50" s="130" t="s">
        <v>239</v>
      </c>
      <c r="B50" s="131" t="s">
        <v>240</v>
      </c>
      <c r="C50" s="131" t="s">
        <v>94</v>
      </c>
      <c r="D50" s="131" t="s">
        <v>95</v>
      </c>
      <c r="E50" s="131" t="s">
        <v>131</v>
      </c>
      <c r="F50" s="131" t="s">
        <v>97</v>
      </c>
      <c r="G50" s="131" t="s">
        <v>125</v>
      </c>
      <c r="H50" s="131" t="s">
        <v>99</v>
      </c>
      <c r="I50" s="132">
        <v>7.0</v>
      </c>
      <c r="J50" s="131" t="s">
        <v>100</v>
      </c>
      <c r="K50" s="131" t="s">
        <v>127</v>
      </c>
      <c r="L50" s="131" t="s">
        <v>102</v>
      </c>
      <c r="M50" s="131" t="s">
        <v>112</v>
      </c>
      <c r="N50" s="131" t="s">
        <v>142</v>
      </c>
    </row>
    <row r="51" ht="22.5" customHeight="1">
      <c r="A51" s="130" t="s">
        <v>241</v>
      </c>
      <c r="B51" s="131" t="s">
        <v>242</v>
      </c>
      <c r="C51" s="131" t="s">
        <v>124</v>
      </c>
      <c r="D51" s="131" t="s">
        <v>95</v>
      </c>
      <c r="E51" s="131" t="s">
        <v>107</v>
      </c>
      <c r="F51" s="131" t="s">
        <v>97</v>
      </c>
      <c r="G51" s="131" t="s">
        <v>119</v>
      </c>
      <c r="H51" s="131" t="s">
        <v>99</v>
      </c>
      <c r="I51" s="132">
        <v>8.0</v>
      </c>
      <c r="J51" s="131" t="s">
        <v>100</v>
      </c>
      <c r="K51" s="131" t="s">
        <v>173</v>
      </c>
      <c r="L51" s="131" t="s">
        <v>111</v>
      </c>
      <c r="M51" s="131" t="s">
        <v>102</v>
      </c>
      <c r="N51" s="131" t="s">
        <v>103</v>
      </c>
    </row>
    <row r="52" ht="22.5" customHeight="1">
      <c r="A52" s="130" t="s">
        <v>243</v>
      </c>
      <c r="B52" s="131" t="s">
        <v>244</v>
      </c>
      <c r="C52" s="131" t="s">
        <v>148</v>
      </c>
      <c r="D52" s="131" t="s">
        <v>116</v>
      </c>
      <c r="E52" s="131" t="s">
        <v>131</v>
      </c>
      <c r="F52" s="131" t="s">
        <v>97</v>
      </c>
      <c r="G52" s="131" t="s">
        <v>125</v>
      </c>
      <c r="H52" s="131" t="s">
        <v>109</v>
      </c>
      <c r="I52" s="132">
        <v>3.0</v>
      </c>
      <c r="J52" s="131" t="s">
        <v>100</v>
      </c>
      <c r="K52" s="131" t="s">
        <v>120</v>
      </c>
      <c r="L52" s="131" t="s">
        <v>112</v>
      </c>
      <c r="M52" s="131" t="s">
        <v>112</v>
      </c>
      <c r="N52" s="131" t="s">
        <v>121</v>
      </c>
    </row>
    <row r="53" ht="22.5" customHeight="1">
      <c r="A53" s="130" t="s">
        <v>245</v>
      </c>
      <c r="B53" s="131" t="s">
        <v>246</v>
      </c>
      <c r="C53" s="131" t="s">
        <v>94</v>
      </c>
      <c r="D53" s="131" t="s">
        <v>116</v>
      </c>
      <c r="E53" s="131" t="s">
        <v>96</v>
      </c>
      <c r="F53" s="131" t="s">
        <v>97</v>
      </c>
      <c r="G53" s="131" t="s">
        <v>119</v>
      </c>
      <c r="H53" s="131" t="s">
        <v>132</v>
      </c>
      <c r="I53" s="132">
        <v>1.0</v>
      </c>
      <c r="J53" s="131" t="s">
        <v>126</v>
      </c>
      <c r="K53" s="131" t="s">
        <v>212</v>
      </c>
      <c r="L53" s="131" t="s">
        <v>112</v>
      </c>
      <c r="M53" s="131" t="s">
        <v>102</v>
      </c>
      <c r="N53" s="131" t="s">
        <v>139</v>
      </c>
    </row>
    <row r="54" ht="22.5" customHeight="1">
      <c r="A54" s="130" t="s">
        <v>247</v>
      </c>
      <c r="B54" s="131" t="s">
        <v>248</v>
      </c>
      <c r="C54" s="131" t="s">
        <v>106</v>
      </c>
      <c r="D54" s="131" t="s">
        <v>116</v>
      </c>
      <c r="E54" s="131" t="s">
        <v>96</v>
      </c>
      <c r="F54" s="131" t="s">
        <v>108</v>
      </c>
      <c r="G54" s="131" t="s">
        <v>125</v>
      </c>
      <c r="H54" s="131" t="s">
        <v>109</v>
      </c>
      <c r="I54" s="132">
        <v>4.0</v>
      </c>
      <c r="J54" s="131" t="s">
        <v>153</v>
      </c>
      <c r="K54" s="131" t="s">
        <v>133</v>
      </c>
      <c r="L54" s="131" t="s">
        <v>102</v>
      </c>
      <c r="M54" s="131" t="s">
        <v>102</v>
      </c>
      <c r="N54" s="131" t="s">
        <v>142</v>
      </c>
    </row>
    <row r="55" ht="22.5" customHeight="1">
      <c r="A55" s="130" t="s">
        <v>249</v>
      </c>
      <c r="B55" s="131" t="s">
        <v>250</v>
      </c>
      <c r="C55" s="131" t="s">
        <v>152</v>
      </c>
      <c r="D55" s="131" t="s">
        <v>95</v>
      </c>
      <c r="E55" s="131" t="s">
        <v>117</v>
      </c>
      <c r="F55" s="131" t="s">
        <v>108</v>
      </c>
      <c r="G55" s="131" t="s">
        <v>125</v>
      </c>
      <c r="H55" s="131" t="s">
        <v>109</v>
      </c>
      <c r="I55" s="132">
        <v>2.0</v>
      </c>
      <c r="J55" s="131" t="s">
        <v>156</v>
      </c>
      <c r="K55" s="131" t="s">
        <v>101</v>
      </c>
      <c r="L55" s="131" t="s">
        <v>112</v>
      </c>
      <c r="M55" s="131" t="s">
        <v>102</v>
      </c>
      <c r="N55" s="131" t="s">
        <v>165</v>
      </c>
    </row>
    <row r="56" ht="22.5" customHeight="1">
      <c r="A56" s="130" t="s">
        <v>251</v>
      </c>
      <c r="B56" s="131" t="s">
        <v>252</v>
      </c>
      <c r="C56" s="131" t="s">
        <v>106</v>
      </c>
      <c r="D56" s="131" t="s">
        <v>137</v>
      </c>
      <c r="E56" s="131" t="s">
        <v>96</v>
      </c>
      <c r="F56" s="131" t="s">
        <v>118</v>
      </c>
      <c r="G56" s="131" t="s">
        <v>119</v>
      </c>
      <c r="H56" s="131" t="s">
        <v>132</v>
      </c>
      <c r="I56" s="132">
        <v>8.0</v>
      </c>
      <c r="J56" s="131" t="s">
        <v>100</v>
      </c>
      <c r="K56" s="131" t="s">
        <v>138</v>
      </c>
      <c r="L56" s="131" t="s">
        <v>102</v>
      </c>
      <c r="M56" s="131" t="s">
        <v>102</v>
      </c>
      <c r="N56" s="131" t="s">
        <v>139</v>
      </c>
    </row>
    <row r="57" ht="22.5" customHeight="1">
      <c r="A57" s="130" t="s">
        <v>253</v>
      </c>
      <c r="B57" s="131" t="s">
        <v>254</v>
      </c>
      <c r="C57" s="131" t="s">
        <v>152</v>
      </c>
      <c r="D57" s="131" t="s">
        <v>116</v>
      </c>
      <c r="E57" s="131" t="s">
        <v>131</v>
      </c>
      <c r="F57" s="131" t="s">
        <v>108</v>
      </c>
      <c r="G57" s="131" t="s">
        <v>119</v>
      </c>
      <c r="H57" s="131" t="s">
        <v>109</v>
      </c>
      <c r="I57" s="132">
        <v>4.0</v>
      </c>
      <c r="J57" s="131" t="s">
        <v>153</v>
      </c>
      <c r="K57" s="131" t="s">
        <v>149</v>
      </c>
      <c r="L57" s="131" t="s">
        <v>112</v>
      </c>
      <c r="M57" s="131" t="s">
        <v>102</v>
      </c>
      <c r="N57" s="131" t="s">
        <v>139</v>
      </c>
    </row>
    <row r="58" ht="22.5" customHeight="1">
      <c r="A58" s="130" t="s">
        <v>255</v>
      </c>
      <c r="B58" s="131" t="s">
        <v>256</v>
      </c>
      <c r="C58" s="131" t="s">
        <v>106</v>
      </c>
      <c r="D58" s="131" t="s">
        <v>137</v>
      </c>
      <c r="E58" s="131" t="s">
        <v>96</v>
      </c>
      <c r="F58" s="131" t="s">
        <v>118</v>
      </c>
      <c r="G58" s="131" t="s">
        <v>125</v>
      </c>
      <c r="H58" s="131" t="s">
        <v>109</v>
      </c>
      <c r="I58" s="132">
        <v>2.0</v>
      </c>
      <c r="J58" s="131" t="s">
        <v>153</v>
      </c>
      <c r="K58" s="131" t="s">
        <v>212</v>
      </c>
      <c r="L58" s="131" t="s">
        <v>112</v>
      </c>
      <c r="M58" s="131" t="s">
        <v>112</v>
      </c>
      <c r="N58" s="131" t="s">
        <v>142</v>
      </c>
    </row>
    <row r="59" ht="22.5" customHeight="1">
      <c r="A59" s="130" t="s">
        <v>257</v>
      </c>
      <c r="B59" s="131" t="s">
        <v>258</v>
      </c>
      <c r="C59" s="131" t="s">
        <v>124</v>
      </c>
      <c r="D59" s="131" t="s">
        <v>95</v>
      </c>
      <c r="E59" s="131" t="s">
        <v>107</v>
      </c>
      <c r="F59" s="131" t="s">
        <v>108</v>
      </c>
      <c r="G59" s="131" t="s">
        <v>98</v>
      </c>
      <c r="H59" s="131" t="s">
        <v>99</v>
      </c>
      <c r="I59" s="132">
        <v>6.0</v>
      </c>
      <c r="J59" s="131" t="s">
        <v>100</v>
      </c>
      <c r="K59" s="131" t="s">
        <v>138</v>
      </c>
      <c r="L59" s="131" t="s">
        <v>102</v>
      </c>
      <c r="M59" s="131" t="s">
        <v>112</v>
      </c>
      <c r="N59" s="131" t="s">
        <v>142</v>
      </c>
    </row>
    <row r="60" ht="22.5" customHeight="1">
      <c r="A60" s="130" t="s">
        <v>259</v>
      </c>
      <c r="B60" s="131" t="s">
        <v>260</v>
      </c>
      <c r="C60" s="131" t="s">
        <v>148</v>
      </c>
      <c r="D60" s="131" t="s">
        <v>116</v>
      </c>
      <c r="E60" s="131" t="s">
        <v>96</v>
      </c>
      <c r="F60" s="131" t="s">
        <v>97</v>
      </c>
      <c r="G60" s="131" t="s">
        <v>98</v>
      </c>
      <c r="H60" s="131" t="s">
        <v>99</v>
      </c>
      <c r="I60" s="132">
        <v>6.0</v>
      </c>
      <c r="J60" s="131" t="s">
        <v>156</v>
      </c>
      <c r="K60" s="131" t="s">
        <v>145</v>
      </c>
      <c r="L60" s="131" t="s">
        <v>102</v>
      </c>
      <c r="M60" s="131" t="s">
        <v>102</v>
      </c>
      <c r="N60" s="131" t="s">
        <v>142</v>
      </c>
    </row>
    <row r="61" ht="22.5" customHeight="1">
      <c r="A61" s="130" t="s">
        <v>261</v>
      </c>
      <c r="B61" s="131" t="s">
        <v>262</v>
      </c>
      <c r="C61" s="131" t="s">
        <v>94</v>
      </c>
      <c r="D61" s="131" t="s">
        <v>95</v>
      </c>
      <c r="E61" s="131" t="s">
        <v>96</v>
      </c>
      <c r="F61" s="131" t="s">
        <v>108</v>
      </c>
      <c r="G61" s="131" t="s">
        <v>98</v>
      </c>
      <c r="H61" s="131" t="s">
        <v>109</v>
      </c>
      <c r="I61" s="132">
        <v>10.0</v>
      </c>
      <c r="J61" s="131" t="s">
        <v>100</v>
      </c>
      <c r="K61" s="131" t="s">
        <v>120</v>
      </c>
      <c r="L61" s="131" t="s">
        <v>111</v>
      </c>
      <c r="M61" s="131" t="s">
        <v>112</v>
      </c>
      <c r="N61" s="131" t="s">
        <v>165</v>
      </c>
    </row>
    <row r="62" ht="22.5" customHeight="1">
      <c r="A62" s="130" t="s">
        <v>263</v>
      </c>
      <c r="B62" s="131" t="s">
        <v>264</v>
      </c>
      <c r="C62" s="131" t="s">
        <v>152</v>
      </c>
      <c r="D62" s="131" t="s">
        <v>137</v>
      </c>
      <c r="E62" s="131" t="s">
        <v>96</v>
      </c>
      <c r="F62" s="131" t="s">
        <v>97</v>
      </c>
      <c r="G62" s="131" t="s">
        <v>98</v>
      </c>
      <c r="H62" s="131" t="s">
        <v>99</v>
      </c>
      <c r="I62" s="132">
        <v>4.0</v>
      </c>
      <c r="J62" s="131" t="s">
        <v>153</v>
      </c>
      <c r="K62" s="131" t="s">
        <v>120</v>
      </c>
      <c r="L62" s="131" t="s">
        <v>112</v>
      </c>
      <c r="M62" s="131" t="s">
        <v>112</v>
      </c>
      <c r="N62" s="131" t="s">
        <v>103</v>
      </c>
    </row>
    <row r="63" ht="22.5" customHeight="1">
      <c r="A63" s="130" t="s">
        <v>265</v>
      </c>
      <c r="B63" s="131" t="s">
        <v>266</v>
      </c>
      <c r="C63" s="131" t="s">
        <v>148</v>
      </c>
      <c r="D63" s="131" t="s">
        <v>116</v>
      </c>
      <c r="E63" s="131" t="s">
        <v>107</v>
      </c>
      <c r="F63" s="131" t="s">
        <v>97</v>
      </c>
      <c r="G63" s="131" t="s">
        <v>98</v>
      </c>
      <c r="H63" s="131" t="s">
        <v>132</v>
      </c>
      <c r="I63" s="132">
        <v>6.0</v>
      </c>
      <c r="J63" s="131" t="s">
        <v>156</v>
      </c>
      <c r="K63" s="131" t="s">
        <v>138</v>
      </c>
      <c r="L63" s="131" t="s">
        <v>102</v>
      </c>
      <c r="M63" s="131" t="s">
        <v>112</v>
      </c>
      <c r="N63" s="131" t="s">
        <v>128</v>
      </c>
    </row>
    <row r="64" ht="22.5" customHeight="1">
      <c r="A64" s="130" t="s">
        <v>267</v>
      </c>
      <c r="B64" s="131" t="s">
        <v>268</v>
      </c>
      <c r="C64" s="131" t="s">
        <v>148</v>
      </c>
      <c r="D64" s="131" t="s">
        <v>137</v>
      </c>
      <c r="E64" s="131" t="s">
        <v>117</v>
      </c>
      <c r="F64" s="131" t="s">
        <v>118</v>
      </c>
      <c r="G64" s="131" t="s">
        <v>119</v>
      </c>
      <c r="H64" s="131" t="s">
        <v>132</v>
      </c>
      <c r="I64" s="132">
        <v>2.0</v>
      </c>
      <c r="J64" s="131" t="s">
        <v>153</v>
      </c>
      <c r="K64" s="131" t="s">
        <v>127</v>
      </c>
      <c r="L64" s="131" t="s">
        <v>111</v>
      </c>
      <c r="M64" s="131" t="s">
        <v>102</v>
      </c>
      <c r="N64" s="131" t="s">
        <v>128</v>
      </c>
    </row>
    <row r="65" ht="22.5" customHeight="1">
      <c r="A65" s="130" t="s">
        <v>269</v>
      </c>
      <c r="B65" s="131" t="s">
        <v>270</v>
      </c>
      <c r="C65" s="131" t="s">
        <v>106</v>
      </c>
      <c r="D65" s="131" t="s">
        <v>137</v>
      </c>
      <c r="E65" s="131" t="s">
        <v>107</v>
      </c>
      <c r="F65" s="131" t="s">
        <v>97</v>
      </c>
      <c r="G65" s="131" t="s">
        <v>98</v>
      </c>
      <c r="H65" s="131" t="s">
        <v>99</v>
      </c>
      <c r="I65" s="132">
        <v>10.0</v>
      </c>
      <c r="J65" s="131" t="s">
        <v>100</v>
      </c>
      <c r="K65" s="131" t="s">
        <v>120</v>
      </c>
      <c r="L65" s="131" t="s">
        <v>112</v>
      </c>
      <c r="M65" s="131" t="s">
        <v>112</v>
      </c>
      <c r="N65" s="131" t="s">
        <v>165</v>
      </c>
    </row>
    <row r="66" ht="22.5" customHeight="1">
      <c r="A66" s="130" t="s">
        <v>271</v>
      </c>
      <c r="B66" s="131" t="s">
        <v>272</v>
      </c>
      <c r="C66" s="131" t="s">
        <v>124</v>
      </c>
      <c r="D66" s="131" t="s">
        <v>95</v>
      </c>
      <c r="E66" s="131" t="s">
        <v>131</v>
      </c>
      <c r="F66" s="131" t="s">
        <v>118</v>
      </c>
      <c r="G66" s="131" t="s">
        <v>125</v>
      </c>
      <c r="H66" s="131" t="s">
        <v>99</v>
      </c>
      <c r="I66" s="132">
        <v>2.0</v>
      </c>
      <c r="J66" s="131" t="s">
        <v>153</v>
      </c>
      <c r="K66" s="131" t="s">
        <v>138</v>
      </c>
      <c r="L66" s="131" t="s">
        <v>112</v>
      </c>
      <c r="M66" s="131" t="s">
        <v>102</v>
      </c>
      <c r="N66" s="131" t="s">
        <v>139</v>
      </c>
    </row>
    <row r="67" ht="22.5" customHeight="1">
      <c r="A67" s="130" t="s">
        <v>273</v>
      </c>
      <c r="B67" s="131" t="s">
        <v>274</v>
      </c>
      <c r="C67" s="131" t="s">
        <v>94</v>
      </c>
      <c r="D67" s="131" t="s">
        <v>116</v>
      </c>
      <c r="E67" s="131" t="s">
        <v>131</v>
      </c>
      <c r="F67" s="131" t="s">
        <v>108</v>
      </c>
      <c r="G67" s="131" t="s">
        <v>98</v>
      </c>
      <c r="H67" s="131" t="s">
        <v>132</v>
      </c>
      <c r="I67" s="132">
        <v>10.0</v>
      </c>
      <c r="J67" s="131" t="s">
        <v>100</v>
      </c>
      <c r="K67" s="131" t="s">
        <v>120</v>
      </c>
      <c r="L67" s="131" t="s">
        <v>102</v>
      </c>
      <c r="M67" s="131" t="s">
        <v>112</v>
      </c>
      <c r="N67" s="131" t="s">
        <v>142</v>
      </c>
    </row>
    <row r="68" ht="22.5" customHeight="1">
      <c r="A68" s="130" t="s">
        <v>275</v>
      </c>
      <c r="B68" s="131" t="s">
        <v>276</v>
      </c>
      <c r="C68" s="131" t="s">
        <v>152</v>
      </c>
      <c r="D68" s="131" t="s">
        <v>95</v>
      </c>
      <c r="E68" s="131" t="s">
        <v>117</v>
      </c>
      <c r="F68" s="131" t="s">
        <v>108</v>
      </c>
      <c r="G68" s="131" t="s">
        <v>119</v>
      </c>
      <c r="H68" s="131" t="s">
        <v>109</v>
      </c>
      <c r="I68" s="132">
        <v>4.0</v>
      </c>
      <c r="J68" s="131" t="s">
        <v>156</v>
      </c>
      <c r="K68" s="131" t="s">
        <v>277</v>
      </c>
      <c r="L68" s="131" t="s">
        <v>111</v>
      </c>
      <c r="M68" s="131" t="s">
        <v>102</v>
      </c>
      <c r="N68" s="131" t="s">
        <v>139</v>
      </c>
    </row>
    <row r="69" ht="22.5" customHeight="1">
      <c r="A69" s="130" t="s">
        <v>278</v>
      </c>
      <c r="B69" s="131" t="s">
        <v>279</v>
      </c>
      <c r="C69" s="131" t="s">
        <v>124</v>
      </c>
      <c r="D69" s="131" t="s">
        <v>116</v>
      </c>
      <c r="E69" s="131" t="s">
        <v>96</v>
      </c>
      <c r="F69" s="131" t="s">
        <v>97</v>
      </c>
      <c r="G69" s="131" t="s">
        <v>98</v>
      </c>
      <c r="H69" s="131" t="s">
        <v>99</v>
      </c>
      <c r="I69" s="132">
        <v>8.0</v>
      </c>
      <c r="J69" s="131" t="s">
        <v>100</v>
      </c>
      <c r="K69" s="131" t="s">
        <v>149</v>
      </c>
      <c r="L69" s="131" t="s">
        <v>112</v>
      </c>
      <c r="M69" s="131" t="s">
        <v>112</v>
      </c>
      <c r="N69" s="131" t="s">
        <v>142</v>
      </c>
    </row>
    <row r="70" ht="22.5" customHeight="1">
      <c r="A70" s="130" t="s">
        <v>280</v>
      </c>
      <c r="B70" s="131" t="s">
        <v>281</v>
      </c>
      <c r="C70" s="131" t="s">
        <v>106</v>
      </c>
      <c r="D70" s="131" t="s">
        <v>116</v>
      </c>
      <c r="E70" s="131" t="s">
        <v>117</v>
      </c>
      <c r="F70" s="131" t="s">
        <v>108</v>
      </c>
      <c r="G70" s="131" t="s">
        <v>119</v>
      </c>
      <c r="H70" s="131" t="s">
        <v>132</v>
      </c>
      <c r="I70" s="132">
        <v>7.0</v>
      </c>
      <c r="J70" s="131" t="s">
        <v>100</v>
      </c>
      <c r="K70" s="131" t="s">
        <v>173</v>
      </c>
      <c r="L70" s="131" t="s">
        <v>112</v>
      </c>
      <c r="M70" s="131" t="s">
        <v>102</v>
      </c>
      <c r="N70" s="131" t="s">
        <v>134</v>
      </c>
    </row>
    <row r="71" ht="22.5" customHeight="1">
      <c r="A71" s="130" t="s">
        <v>282</v>
      </c>
      <c r="B71" s="131" t="s">
        <v>283</v>
      </c>
      <c r="C71" s="131" t="s">
        <v>124</v>
      </c>
      <c r="D71" s="131" t="s">
        <v>137</v>
      </c>
      <c r="E71" s="131" t="s">
        <v>117</v>
      </c>
      <c r="F71" s="131" t="s">
        <v>118</v>
      </c>
      <c r="G71" s="131" t="s">
        <v>125</v>
      </c>
      <c r="H71" s="131" t="s">
        <v>132</v>
      </c>
      <c r="I71" s="132">
        <v>9.0</v>
      </c>
      <c r="J71" s="131" t="s">
        <v>100</v>
      </c>
      <c r="K71" s="131" t="s">
        <v>203</v>
      </c>
      <c r="L71" s="131" t="s">
        <v>112</v>
      </c>
      <c r="M71" s="131" t="s">
        <v>112</v>
      </c>
      <c r="N71" s="131" t="s">
        <v>103</v>
      </c>
    </row>
    <row r="72" ht="22.5" customHeight="1">
      <c r="A72" s="130" t="s">
        <v>284</v>
      </c>
      <c r="B72" s="131" t="s">
        <v>285</v>
      </c>
      <c r="C72" s="131" t="s">
        <v>152</v>
      </c>
      <c r="D72" s="131" t="s">
        <v>116</v>
      </c>
      <c r="E72" s="131" t="s">
        <v>107</v>
      </c>
      <c r="F72" s="131" t="s">
        <v>108</v>
      </c>
      <c r="G72" s="131" t="s">
        <v>125</v>
      </c>
      <c r="H72" s="131" t="s">
        <v>109</v>
      </c>
      <c r="I72" s="132">
        <v>8.0</v>
      </c>
      <c r="J72" s="131" t="s">
        <v>100</v>
      </c>
      <c r="K72" s="131" t="s">
        <v>145</v>
      </c>
      <c r="L72" s="131" t="s">
        <v>111</v>
      </c>
      <c r="M72" s="131" t="s">
        <v>112</v>
      </c>
      <c r="N72" s="131" t="s">
        <v>165</v>
      </c>
    </row>
    <row r="73" ht="22.5" customHeight="1">
      <c r="A73" s="130" t="s">
        <v>286</v>
      </c>
      <c r="B73" s="131" t="s">
        <v>287</v>
      </c>
      <c r="C73" s="131" t="s">
        <v>94</v>
      </c>
      <c r="D73" s="131" t="s">
        <v>95</v>
      </c>
      <c r="E73" s="131" t="s">
        <v>96</v>
      </c>
      <c r="F73" s="131" t="s">
        <v>108</v>
      </c>
      <c r="G73" s="131" t="s">
        <v>98</v>
      </c>
      <c r="H73" s="131" t="s">
        <v>132</v>
      </c>
      <c r="I73" s="132">
        <v>5.0</v>
      </c>
      <c r="J73" s="131" t="s">
        <v>153</v>
      </c>
      <c r="K73" s="131" t="s">
        <v>149</v>
      </c>
      <c r="L73" s="131" t="s">
        <v>111</v>
      </c>
      <c r="M73" s="131" t="s">
        <v>102</v>
      </c>
      <c r="N73" s="131" t="s">
        <v>134</v>
      </c>
    </row>
    <row r="74" ht="22.5" customHeight="1">
      <c r="A74" s="130" t="s">
        <v>288</v>
      </c>
      <c r="B74" s="131" t="s">
        <v>289</v>
      </c>
      <c r="C74" s="131" t="s">
        <v>124</v>
      </c>
      <c r="D74" s="131" t="s">
        <v>116</v>
      </c>
      <c r="E74" s="131" t="s">
        <v>107</v>
      </c>
      <c r="F74" s="131" t="s">
        <v>108</v>
      </c>
      <c r="G74" s="131" t="s">
        <v>119</v>
      </c>
      <c r="H74" s="131" t="s">
        <v>99</v>
      </c>
      <c r="I74" s="132">
        <v>2.0</v>
      </c>
      <c r="J74" s="131" t="s">
        <v>126</v>
      </c>
      <c r="K74" s="131" t="s">
        <v>127</v>
      </c>
      <c r="L74" s="131" t="s">
        <v>102</v>
      </c>
      <c r="M74" s="131" t="s">
        <v>112</v>
      </c>
      <c r="N74" s="131" t="s">
        <v>142</v>
      </c>
    </row>
    <row r="75" ht="22.5" customHeight="1">
      <c r="A75" s="130" t="s">
        <v>290</v>
      </c>
      <c r="B75" s="131" t="s">
        <v>291</v>
      </c>
      <c r="C75" s="131" t="s">
        <v>148</v>
      </c>
      <c r="D75" s="131" t="s">
        <v>116</v>
      </c>
      <c r="E75" s="131" t="s">
        <v>96</v>
      </c>
      <c r="F75" s="131" t="s">
        <v>118</v>
      </c>
      <c r="G75" s="131" t="s">
        <v>119</v>
      </c>
      <c r="H75" s="131" t="s">
        <v>132</v>
      </c>
      <c r="I75" s="132">
        <v>5.0</v>
      </c>
      <c r="J75" s="131" t="s">
        <v>163</v>
      </c>
      <c r="K75" s="131" t="s">
        <v>110</v>
      </c>
      <c r="L75" s="131" t="s">
        <v>102</v>
      </c>
      <c r="M75" s="131" t="s">
        <v>102</v>
      </c>
      <c r="N75" s="131" t="s">
        <v>103</v>
      </c>
    </row>
    <row r="76" ht="22.5" customHeight="1">
      <c r="A76" s="130" t="s">
        <v>292</v>
      </c>
      <c r="B76" s="131" t="s">
        <v>293</v>
      </c>
      <c r="C76" s="131" t="s">
        <v>124</v>
      </c>
      <c r="D76" s="131" t="s">
        <v>137</v>
      </c>
      <c r="E76" s="131" t="s">
        <v>96</v>
      </c>
      <c r="F76" s="131" t="s">
        <v>108</v>
      </c>
      <c r="G76" s="131" t="s">
        <v>119</v>
      </c>
      <c r="H76" s="131" t="s">
        <v>132</v>
      </c>
      <c r="I76" s="132">
        <v>8.0</v>
      </c>
      <c r="J76" s="131" t="s">
        <v>100</v>
      </c>
      <c r="K76" s="131" t="s">
        <v>277</v>
      </c>
      <c r="L76" s="131" t="s">
        <v>112</v>
      </c>
      <c r="M76" s="131" t="s">
        <v>112</v>
      </c>
      <c r="N76" s="131" t="s">
        <v>121</v>
      </c>
    </row>
    <row r="77" ht="22.5" customHeight="1">
      <c r="A77" s="130" t="s">
        <v>294</v>
      </c>
      <c r="B77" s="131" t="s">
        <v>295</v>
      </c>
      <c r="C77" s="131" t="s">
        <v>124</v>
      </c>
      <c r="D77" s="131" t="s">
        <v>116</v>
      </c>
      <c r="E77" s="131" t="s">
        <v>117</v>
      </c>
      <c r="F77" s="131" t="s">
        <v>118</v>
      </c>
      <c r="G77" s="131" t="s">
        <v>119</v>
      </c>
      <c r="H77" s="131" t="s">
        <v>132</v>
      </c>
      <c r="I77" s="132">
        <v>10.0</v>
      </c>
      <c r="J77" s="131" t="s">
        <v>100</v>
      </c>
      <c r="K77" s="131" t="s">
        <v>110</v>
      </c>
      <c r="L77" s="131" t="s">
        <v>102</v>
      </c>
      <c r="M77" s="131" t="s">
        <v>112</v>
      </c>
      <c r="N77" s="131" t="s">
        <v>165</v>
      </c>
    </row>
    <row r="78" ht="22.5" customHeight="1">
      <c r="A78" s="130" t="s">
        <v>296</v>
      </c>
      <c r="B78" s="131" t="s">
        <v>297</v>
      </c>
      <c r="C78" s="131" t="s">
        <v>152</v>
      </c>
      <c r="D78" s="131" t="s">
        <v>137</v>
      </c>
      <c r="E78" s="131" t="s">
        <v>131</v>
      </c>
      <c r="F78" s="131" t="s">
        <v>118</v>
      </c>
      <c r="G78" s="131" t="s">
        <v>98</v>
      </c>
      <c r="H78" s="131" t="s">
        <v>99</v>
      </c>
      <c r="I78" s="132">
        <v>9.0</v>
      </c>
      <c r="J78" s="131" t="s">
        <v>100</v>
      </c>
      <c r="K78" s="131" t="s">
        <v>101</v>
      </c>
      <c r="L78" s="131" t="s">
        <v>102</v>
      </c>
      <c r="M78" s="131" t="s">
        <v>112</v>
      </c>
      <c r="N78" s="131" t="s">
        <v>113</v>
      </c>
    </row>
    <row r="79" ht="22.5" customHeight="1">
      <c r="A79" s="130" t="s">
        <v>298</v>
      </c>
      <c r="B79" s="131" t="s">
        <v>299</v>
      </c>
      <c r="C79" s="131" t="s">
        <v>106</v>
      </c>
      <c r="D79" s="131" t="s">
        <v>137</v>
      </c>
      <c r="E79" s="131" t="s">
        <v>131</v>
      </c>
      <c r="F79" s="131" t="s">
        <v>97</v>
      </c>
      <c r="G79" s="131" t="s">
        <v>119</v>
      </c>
      <c r="H79" s="131" t="s">
        <v>109</v>
      </c>
      <c r="I79" s="132">
        <v>9.0</v>
      </c>
      <c r="J79" s="131" t="s">
        <v>100</v>
      </c>
      <c r="K79" s="131" t="s">
        <v>164</v>
      </c>
      <c r="L79" s="131" t="s">
        <v>102</v>
      </c>
      <c r="M79" s="131" t="s">
        <v>112</v>
      </c>
      <c r="N79" s="131" t="s">
        <v>139</v>
      </c>
    </row>
    <row r="80" ht="22.5" customHeight="1">
      <c r="A80" s="130" t="s">
        <v>300</v>
      </c>
      <c r="B80" s="131" t="s">
        <v>301</v>
      </c>
      <c r="C80" s="131" t="s">
        <v>124</v>
      </c>
      <c r="D80" s="131" t="s">
        <v>116</v>
      </c>
      <c r="E80" s="131" t="s">
        <v>117</v>
      </c>
      <c r="F80" s="131" t="s">
        <v>108</v>
      </c>
      <c r="G80" s="131" t="s">
        <v>98</v>
      </c>
      <c r="H80" s="131" t="s">
        <v>109</v>
      </c>
      <c r="I80" s="132">
        <v>1.0</v>
      </c>
      <c r="J80" s="131" t="s">
        <v>163</v>
      </c>
      <c r="K80" s="131" t="s">
        <v>170</v>
      </c>
      <c r="L80" s="131" t="s">
        <v>102</v>
      </c>
      <c r="M80" s="131" t="s">
        <v>112</v>
      </c>
      <c r="N80" s="131" t="s">
        <v>103</v>
      </c>
    </row>
    <row r="81" ht="22.5" customHeight="1">
      <c r="A81" s="130" t="s">
        <v>302</v>
      </c>
      <c r="B81" s="131" t="s">
        <v>303</v>
      </c>
      <c r="C81" s="131" t="s">
        <v>94</v>
      </c>
      <c r="D81" s="131" t="s">
        <v>137</v>
      </c>
      <c r="E81" s="131" t="s">
        <v>131</v>
      </c>
      <c r="F81" s="131" t="s">
        <v>108</v>
      </c>
      <c r="G81" s="131" t="s">
        <v>119</v>
      </c>
      <c r="H81" s="131" t="s">
        <v>132</v>
      </c>
      <c r="I81" s="132">
        <v>9.0</v>
      </c>
      <c r="J81" s="131" t="s">
        <v>100</v>
      </c>
      <c r="K81" s="131" t="s">
        <v>203</v>
      </c>
      <c r="L81" s="131" t="s">
        <v>112</v>
      </c>
      <c r="M81" s="131" t="s">
        <v>112</v>
      </c>
      <c r="N81" s="131" t="s">
        <v>139</v>
      </c>
    </row>
    <row r="82" ht="22.5" customHeight="1">
      <c r="A82" s="130" t="s">
        <v>304</v>
      </c>
      <c r="B82" s="131" t="s">
        <v>305</v>
      </c>
      <c r="C82" s="131" t="s">
        <v>106</v>
      </c>
      <c r="D82" s="131" t="s">
        <v>95</v>
      </c>
      <c r="E82" s="131" t="s">
        <v>117</v>
      </c>
      <c r="F82" s="131" t="s">
        <v>108</v>
      </c>
      <c r="G82" s="131" t="s">
        <v>125</v>
      </c>
      <c r="H82" s="131" t="s">
        <v>109</v>
      </c>
      <c r="I82" s="132">
        <v>7.0</v>
      </c>
      <c r="J82" s="131" t="s">
        <v>100</v>
      </c>
      <c r="K82" s="131" t="s">
        <v>120</v>
      </c>
      <c r="L82" s="131" t="s">
        <v>111</v>
      </c>
      <c r="M82" s="131" t="s">
        <v>112</v>
      </c>
      <c r="N82" s="131" t="s">
        <v>128</v>
      </c>
    </row>
    <row r="83" ht="22.5" customHeight="1">
      <c r="A83" s="130" t="s">
        <v>306</v>
      </c>
      <c r="B83" s="131" t="s">
        <v>307</v>
      </c>
      <c r="C83" s="131" t="s">
        <v>152</v>
      </c>
      <c r="D83" s="131" t="s">
        <v>116</v>
      </c>
      <c r="E83" s="131" t="s">
        <v>131</v>
      </c>
      <c r="F83" s="131" t="s">
        <v>97</v>
      </c>
      <c r="G83" s="131" t="s">
        <v>119</v>
      </c>
      <c r="H83" s="131" t="s">
        <v>109</v>
      </c>
      <c r="I83" s="132">
        <v>9.0</v>
      </c>
      <c r="J83" s="131" t="s">
        <v>100</v>
      </c>
      <c r="K83" s="131" t="s">
        <v>203</v>
      </c>
      <c r="L83" s="131" t="s">
        <v>112</v>
      </c>
      <c r="M83" s="131" t="s">
        <v>102</v>
      </c>
      <c r="N83" s="131" t="s">
        <v>103</v>
      </c>
    </row>
    <row r="84" ht="22.5" customHeight="1">
      <c r="A84" s="130" t="s">
        <v>308</v>
      </c>
      <c r="B84" s="131" t="s">
        <v>309</v>
      </c>
      <c r="C84" s="131" t="s">
        <v>152</v>
      </c>
      <c r="D84" s="131" t="s">
        <v>137</v>
      </c>
      <c r="E84" s="131" t="s">
        <v>96</v>
      </c>
      <c r="F84" s="131" t="s">
        <v>108</v>
      </c>
      <c r="G84" s="131" t="s">
        <v>119</v>
      </c>
      <c r="H84" s="131" t="s">
        <v>109</v>
      </c>
      <c r="I84" s="132">
        <v>8.0</v>
      </c>
      <c r="J84" s="131" t="s">
        <v>100</v>
      </c>
      <c r="K84" s="131" t="s">
        <v>110</v>
      </c>
      <c r="L84" s="131" t="s">
        <v>112</v>
      </c>
      <c r="M84" s="131" t="s">
        <v>102</v>
      </c>
      <c r="N84" s="131" t="s">
        <v>128</v>
      </c>
    </row>
    <row r="85" ht="22.5" customHeight="1">
      <c r="A85" s="130" t="s">
        <v>310</v>
      </c>
      <c r="B85" s="131" t="s">
        <v>311</v>
      </c>
      <c r="C85" s="131" t="s">
        <v>152</v>
      </c>
      <c r="D85" s="131" t="s">
        <v>116</v>
      </c>
      <c r="E85" s="131" t="s">
        <v>96</v>
      </c>
      <c r="F85" s="131" t="s">
        <v>108</v>
      </c>
      <c r="G85" s="131" t="s">
        <v>119</v>
      </c>
      <c r="H85" s="131" t="s">
        <v>132</v>
      </c>
      <c r="I85" s="132">
        <v>1.0</v>
      </c>
      <c r="J85" s="131" t="s">
        <v>156</v>
      </c>
      <c r="K85" s="131" t="s">
        <v>101</v>
      </c>
      <c r="L85" s="131" t="s">
        <v>112</v>
      </c>
      <c r="M85" s="131" t="s">
        <v>102</v>
      </c>
      <c r="N85" s="131" t="s">
        <v>113</v>
      </c>
    </row>
    <row r="86" ht="22.5" customHeight="1">
      <c r="A86" s="130" t="s">
        <v>312</v>
      </c>
      <c r="B86" s="131" t="s">
        <v>313</v>
      </c>
      <c r="C86" s="131" t="s">
        <v>148</v>
      </c>
      <c r="D86" s="131" t="s">
        <v>116</v>
      </c>
      <c r="E86" s="131" t="s">
        <v>117</v>
      </c>
      <c r="F86" s="131" t="s">
        <v>118</v>
      </c>
      <c r="G86" s="131" t="s">
        <v>98</v>
      </c>
      <c r="H86" s="131" t="s">
        <v>109</v>
      </c>
      <c r="I86" s="132">
        <v>8.0</v>
      </c>
      <c r="J86" s="131" t="s">
        <v>100</v>
      </c>
      <c r="K86" s="131" t="s">
        <v>138</v>
      </c>
      <c r="L86" s="131" t="s">
        <v>111</v>
      </c>
      <c r="M86" s="131" t="s">
        <v>112</v>
      </c>
      <c r="N86" s="131" t="s">
        <v>134</v>
      </c>
    </row>
    <row r="87" ht="22.5" customHeight="1">
      <c r="A87" s="130" t="s">
        <v>314</v>
      </c>
      <c r="B87" s="131" t="s">
        <v>315</v>
      </c>
      <c r="C87" s="131" t="s">
        <v>94</v>
      </c>
      <c r="D87" s="131" t="s">
        <v>116</v>
      </c>
      <c r="E87" s="131" t="s">
        <v>107</v>
      </c>
      <c r="F87" s="131" t="s">
        <v>118</v>
      </c>
      <c r="G87" s="131" t="s">
        <v>119</v>
      </c>
      <c r="H87" s="131" t="s">
        <v>99</v>
      </c>
      <c r="I87" s="132">
        <v>8.0</v>
      </c>
      <c r="J87" s="131" t="s">
        <v>100</v>
      </c>
      <c r="K87" s="131" t="s">
        <v>120</v>
      </c>
      <c r="L87" s="131" t="s">
        <v>112</v>
      </c>
      <c r="M87" s="131" t="s">
        <v>112</v>
      </c>
      <c r="N87" s="131" t="s">
        <v>139</v>
      </c>
    </row>
    <row r="88" ht="22.5" customHeight="1">
      <c r="A88" s="130" t="s">
        <v>316</v>
      </c>
      <c r="B88" s="131" t="s">
        <v>317</v>
      </c>
      <c r="C88" s="131" t="s">
        <v>106</v>
      </c>
      <c r="D88" s="131" t="s">
        <v>95</v>
      </c>
      <c r="E88" s="131" t="s">
        <v>131</v>
      </c>
      <c r="F88" s="131" t="s">
        <v>108</v>
      </c>
      <c r="G88" s="131" t="s">
        <v>119</v>
      </c>
      <c r="H88" s="131" t="s">
        <v>109</v>
      </c>
      <c r="I88" s="132">
        <v>3.0</v>
      </c>
      <c r="J88" s="131" t="s">
        <v>156</v>
      </c>
      <c r="K88" s="131" t="s">
        <v>145</v>
      </c>
      <c r="L88" s="131" t="s">
        <v>112</v>
      </c>
      <c r="M88" s="131" t="s">
        <v>112</v>
      </c>
      <c r="N88" s="131" t="s">
        <v>121</v>
      </c>
    </row>
    <row r="89" ht="22.5" customHeight="1">
      <c r="A89" s="130" t="s">
        <v>318</v>
      </c>
      <c r="B89" s="131" t="s">
        <v>319</v>
      </c>
      <c r="C89" s="131" t="s">
        <v>94</v>
      </c>
      <c r="D89" s="131" t="s">
        <v>137</v>
      </c>
      <c r="E89" s="131" t="s">
        <v>107</v>
      </c>
      <c r="F89" s="131" t="s">
        <v>97</v>
      </c>
      <c r="G89" s="131" t="s">
        <v>98</v>
      </c>
      <c r="H89" s="131" t="s">
        <v>132</v>
      </c>
      <c r="I89" s="132">
        <v>1.0</v>
      </c>
      <c r="J89" s="131" t="s">
        <v>153</v>
      </c>
      <c r="K89" s="131" t="s">
        <v>203</v>
      </c>
      <c r="L89" s="131" t="s">
        <v>102</v>
      </c>
      <c r="M89" s="131" t="s">
        <v>112</v>
      </c>
      <c r="N89" s="131" t="s">
        <v>103</v>
      </c>
    </row>
    <row r="90" ht="22.5" customHeight="1">
      <c r="A90" s="130" t="s">
        <v>320</v>
      </c>
      <c r="B90" s="131" t="s">
        <v>321</v>
      </c>
      <c r="C90" s="131" t="s">
        <v>152</v>
      </c>
      <c r="D90" s="131" t="s">
        <v>137</v>
      </c>
      <c r="E90" s="131" t="s">
        <v>96</v>
      </c>
      <c r="F90" s="131" t="s">
        <v>108</v>
      </c>
      <c r="G90" s="131" t="s">
        <v>119</v>
      </c>
      <c r="H90" s="131" t="s">
        <v>132</v>
      </c>
      <c r="I90" s="132">
        <v>8.0</v>
      </c>
      <c r="J90" s="131" t="s">
        <v>100</v>
      </c>
      <c r="K90" s="131" t="s">
        <v>138</v>
      </c>
      <c r="L90" s="131" t="s">
        <v>112</v>
      </c>
      <c r="M90" s="131" t="s">
        <v>102</v>
      </c>
      <c r="N90" s="131" t="s">
        <v>121</v>
      </c>
    </row>
    <row r="91" ht="22.5" customHeight="1">
      <c r="A91" s="130" t="s">
        <v>322</v>
      </c>
      <c r="B91" s="131" t="s">
        <v>323</v>
      </c>
      <c r="C91" s="131" t="s">
        <v>148</v>
      </c>
      <c r="D91" s="131" t="s">
        <v>95</v>
      </c>
      <c r="E91" s="131" t="s">
        <v>107</v>
      </c>
      <c r="F91" s="131" t="s">
        <v>108</v>
      </c>
      <c r="G91" s="131" t="s">
        <v>119</v>
      </c>
      <c r="H91" s="131" t="s">
        <v>132</v>
      </c>
      <c r="I91" s="132">
        <v>3.0</v>
      </c>
      <c r="J91" s="131" t="s">
        <v>156</v>
      </c>
      <c r="K91" s="131" t="s">
        <v>149</v>
      </c>
      <c r="L91" s="131" t="s">
        <v>102</v>
      </c>
      <c r="M91" s="131" t="s">
        <v>102</v>
      </c>
      <c r="N91" s="131" t="s">
        <v>142</v>
      </c>
    </row>
    <row r="92" ht="22.5" customHeight="1">
      <c r="A92" s="130" t="s">
        <v>324</v>
      </c>
      <c r="B92" s="131" t="s">
        <v>325</v>
      </c>
      <c r="C92" s="131" t="s">
        <v>152</v>
      </c>
      <c r="D92" s="131" t="s">
        <v>95</v>
      </c>
      <c r="E92" s="131" t="s">
        <v>107</v>
      </c>
      <c r="F92" s="131" t="s">
        <v>97</v>
      </c>
      <c r="G92" s="131" t="s">
        <v>125</v>
      </c>
      <c r="H92" s="131" t="s">
        <v>99</v>
      </c>
      <c r="I92" s="132">
        <v>3.0</v>
      </c>
      <c r="J92" s="131" t="s">
        <v>153</v>
      </c>
      <c r="K92" s="131" t="s">
        <v>164</v>
      </c>
      <c r="L92" s="131" t="s">
        <v>111</v>
      </c>
      <c r="M92" s="131" t="s">
        <v>102</v>
      </c>
      <c r="N92" s="131" t="s">
        <v>139</v>
      </c>
    </row>
    <row r="93" ht="22.5" customHeight="1">
      <c r="A93" s="130" t="s">
        <v>326</v>
      </c>
      <c r="B93" s="131" t="s">
        <v>327</v>
      </c>
      <c r="C93" s="131" t="s">
        <v>94</v>
      </c>
      <c r="D93" s="131" t="s">
        <v>137</v>
      </c>
      <c r="E93" s="131" t="s">
        <v>117</v>
      </c>
      <c r="F93" s="131" t="s">
        <v>118</v>
      </c>
      <c r="G93" s="131" t="s">
        <v>98</v>
      </c>
      <c r="H93" s="131" t="s">
        <v>109</v>
      </c>
      <c r="I93" s="132">
        <v>1.0</v>
      </c>
      <c r="J93" s="131" t="s">
        <v>163</v>
      </c>
      <c r="K93" s="131" t="s">
        <v>277</v>
      </c>
      <c r="L93" s="131" t="s">
        <v>112</v>
      </c>
      <c r="M93" s="131" t="s">
        <v>102</v>
      </c>
      <c r="N93" s="131" t="s">
        <v>121</v>
      </c>
    </row>
    <row r="94" ht="22.5" customHeight="1">
      <c r="A94" s="130" t="s">
        <v>328</v>
      </c>
      <c r="B94" s="131" t="s">
        <v>329</v>
      </c>
      <c r="C94" s="131" t="s">
        <v>148</v>
      </c>
      <c r="D94" s="131" t="s">
        <v>116</v>
      </c>
      <c r="E94" s="131" t="s">
        <v>96</v>
      </c>
      <c r="F94" s="131" t="s">
        <v>97</v>
      </c>
      <c r="G94" s="131" t="s">
        <v>119</v>
      </c>
      <c r="H94" s="131" t="s">
        <v>99</v>
      </c>
      <c r="I94" s="132">
        <v>5.0</v>
      </c>
      <c r="J94" s="131" t="s">
        <v>126</v>
      </c>
      <c r="K94" s="131" t="s">
        <v>127</v>
      </c>
      <c r="L94" s="131" t="s">
        <v>102</v>
      </c>
      <c r="M94" s="131" t="s">
        <v>102</v>
      </c>
      <c r="N94" s="131" t="s">
        <v>113</v>
      </c>
    </row>
    <row r="95" ht="22.5" customHeight="1">
      <c r="A95" s="130" t="s">
        <v>330</v>
      </c>
      <c r="B95" s="131" t="s">
        <v>331</v>
      </c>
      <c r="C95" s="131" t="s">
        <v>124</v>
      </c>
      <c r="D95" s="131" t="s">
        <v>95</v>
      </c>
      <c r="E95" s="131" t="s">
        <v>131</v>
      </c>
      <c r="F95" s="131" t="s">
        <v>108</v>
      </c>
      <c r="G95" s="131" t="s">
        <v>98</v>
      </c>
      <c r="H95" s="131" t="s">
        <v>99</v>
      </c>
      <c r="I95" s="132">
        <v>10.0</v>
      </c>
      <c r="J95" s="131" t="s">
        <v>100</v>
      </c>
      <c r="K95" s="131" t="s">
        <v>138</v>
      </c>
      <c r="L95" s="131" t="s">
        <v>112</v>
      </c>
      <c r="M95" s="131" t="s">
        <v>102</v>
      </c>
      <c r="N95" s="131" t="s">
        <v>113</v>
      </c>
    </row>
    <row r="96" ht="22.5" customHeight="1">
      <c r="A96" s="130" t="s">
        <v>332</v>
      </c>
      <c r="B96" s="131" t="s">
        <v>333</v>
      </c>
      <c r="C96" s="131" t="s">
        <v>124</v>
      </c>
      <c r="D96" s="131" t="s">
        <v>95</v>
      </c>
      <c r="E96" s="131" t="s">
        <v>131</v>
      </c>
      <c r="F96" s="131" t="s">
        <v>108</v>
      </c>
      <c r="G96" s="131" t="s">
        <v>119</v>
      </c>
      <c r="H96" s="131" t="s">
        <v>109</v>
      </c>
      <c r="I96" s="132">
        <v>7.0</v>
      </c>
      <c r="J96" s="131" t="s">
        <v>100</v>
      </c>
      <c r="K96" s="131" t="s">
        <v>138</v>
      </c>
      <c r="L96" s="131" t="s">
        <v>102</v>
      </c>
      <c r="M96" s="131" t="s">
        <v>112</v>
      </c>
      <c r="N96" s="131" t="s">
        <v>128</v>
      </c>
    </row>
    <row r="103">
      <c r="H103" s="133" t="s">
        <v>334</v>
      </c>
      <c r="I103" s="133" t="s">
        <v>335</v>
      </c>
    </row>
    <row r="104">
      <c r="C104" s="134" t="s">
        <v>119</v>
      </c>
      <c r="D104" s="134" t="s">
        <v>336</v>
      </c>
      <c r="E104" s="134" t="s">
        <v>125</v>
      </c>
      <c r="H104" s="135">
        <v>1.0</v>
      </c>
      <c r="I104" s="135">
        <v>7.0</v>
      </c>
    </row>
    <row r="105">
      <c r="C105" s="136">
        <v>36.0</v>
      </c>
      <c r="D105" s="136">
        <v>35.0</v>
      </c>
      <c r="E105" s="136">
        <v>24.0</v>
      </c>
      <c r="H105" s="135">
        <v>2.0</v>
      </c>
      <c r="I105" s="135">
        <v>10.0</v>
      </c>
    </row>
    <row r="106">
      <c r="H106" s="135">
        <v>3.0</v>
      </c>
      <c r="I106" s="135">
        <v>9.0</v>
      </c>
    </row>
    <row r="107">
      <c r="H107" s="135">
        <v>4.0</v>
      </c>
      <c r="I107" s="135">
        <v>9.0</v>
      </c>
    </row>
    <row r="108">
      <c r="H108" s="135">
        <v>5.0</v>
      </c>
      <c r="I108" s="135">
        <v>10.0</v>
      </c>
    </row>
    <row r="109">
      <c r="H109" s="135">
        <v>6.0</v>
      </c>
      <c r="I109" s="135">
        <v>6.0</v>
      </c>
    </row>
    <row r="110">
      <c r="H110" s="135">
        <v>7.0</v>
      </c>
      <c r="I110" s="135">
        <v>10.0</v>
      </c>
    </row>
    <row r="111">
      <c r="H111" s="135">
        <v>8.0</v>
      </c>
      <c r="I111" s="135">
        <v>14.0</v>
      </c>
    </row>
    <row r="112">
      <c r="H112" s="135">
        <v>9.0</v>
      </c>
      <c r="I112" s="135">
        <v>10.0</v>
      </c>
    </row>
    <row r="113">
      <c r="H113" s="135">
        <v>10.0</v>
      </c>
      <c r="I113" s="135">
        <v>10.0</v>
      </c>
    </row>
    <row r="118">
      <c r="H118" s="137" t="s">
        <v>337</v>
      </c>
      <c r="I118" s="137" t="s">
        <v>338</v>
      </c>
    </row>
    <row r="119">
      <c r="H119" s="72" t="s">
        <v>94</v>
      </c>
      <c r="I119" s="72">
        <v>16.0</v>
      </c>
    </row>
    <row r="120">
      <c r="H120" s="72" t="s">
        <v>106</v>
      </c>
      <c r="I120" s="72">
        <v>18.0</v>
      </c>
    </row>
    <row r="121">
      <c r="H121" s="72" t="s">
        <v>124</v>
      </c>
      <c r="I121" s="72">
        <v>28.0</v>
      </c>
    </row>
    <row r="122">
      <c r="H122" s="72" t="s">
        <v>152</v>
      </c>
      <c r="I122" s="72">
        <v>18.0</v>
      </c>
    </row>
    <row r="123">
      <c r="H123" s="72" t="s">
        <v>148</v>
      </c>
      <c r="I123" s="72">
        <v>15.0</v>
      </c>
    </row>
    <row r="127">
      <c r="U127" s="138">
        <v>28.0</v>
      </c>
    </row>
  </sheetData>
  <dataValidations>
    <dataValidation type="custom" allowBlank="1" showDropDown="1" sqref="I2:I96">
      <formula1>AND(ISNUMBER(I2),(NOT(OR(NOT(ISERROR(DATEVALUE(I2))), AND(ISNUMBER(I2), LEFT(CELL("format", I2))="D")))))</formula1>
    </dataValidation>
    <dataValidation allowBlank="1" showDropDown="1" sqref="C2:H96 J2:J96 L2:M96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0.88"/>
    <col customWidth="1" min="7" max="7" width="26.38"/>
    <col customWidth="1" min="8" max="8" width="18.88"/>
    <col customWidth="1" min="9" max="11" width="37.63"/>
    <col customWidth="1" min="12" max="12" width="34.5"/>
    <col customWidth="1" min="13" max="13" width="37.63"/>
    <col customWidth="1" min="14" max="19" width="18.88"/>
  </cols>
  <sheetData>
    <row r="1" ht="22.5" customHeight="1">
      <c r="A1" s="139" t="s">
        <v>79</v>
      </c>
      <c r="B1" s="140" t="s">
        <v>80</v>
      </c>
      <c r="C1" s="140" t="s">
        <v>81</v>
      </c>
      <c r="D1" s="140" t="s">
        <v>82</v>
      </c>
      <c r="E1" s="140" t="s">
        <v>83</v>
      </c>
      <c r="F1" s="140" t="s">
        <v>84</v>
      </c>
      <c r="G1" s="140" t="s">
        <v>85</v>
      </c>
      <c r="H1" s="140" t="s">
        <v>87</v>
      </c>
      <c r="I1" s="140" t="s">
        <v>88</v>
      </c>
      <c r="J1" s="140" t="s">
        <v>89</v>
      </c>
      <c r="K1" s="140" t="s">
        <v>90</v>
      </c>
      <c r="L1" s="140" t="s">
        <v>91</v>
      </c>
      <c r="M1" s="141" t="s">
        <v>339</v>
      </c>
    </row>
    <row r="2" ht="22.5" customHeight="1">
      <c r="A2" s="131" t="s">
        <v>93</v>
      </c>
      <c r="B2" s="131" t="s">
        <v>94</v>
      </c>
      <c r="C2" s="131" t="s">
        <v>95</v>
      </c>
      <c r="D2" s="131" t="s">
        <v>96</v>
      </c>
      <c r="E2" s="131" t="s">
        <v>97</v>
      </c>
      <c r="F2" s="131" t="s">
        <v>98</v>
      </c>
      <c r="G2" s="131" t="s">
        <v>99</v>
      </c>
      <c r="H2" s="131" t="s">
        <v>100</v>
      </c>
      <c r="I2" s="131" t="s">
        <v>101</v>
      </c>
      <c r="J2" s="131" t="s">
        <v>102</v>
      </c>
      <c r="K2" s="131" t="s">
        <v>102</v>
      </c>
      <c r="L2" s="131" t="s">
        <v>103</v>
      </c>
      <c r="M2" s="142"/>
    </row>
    <row r="3" ht="22.5" customHeight="1">
      <c r="A3" s="131" t="s">
        <v>105</v>
      </c>
      <c r="B3" s="131" t="s">
        <v>106</v>
      </c>
      <c r="C3" s="131" t="s">
        <v>95</v>
      </c>
      <c r="D3" s="131" t="s">
        <v>107</v>
      </c>
      <c r="E3" s="131" t="s">
        <v>108</v>
      </c>
      <c r="F3" s="131" t="s">
        <v>98</v>
      </c>
      <c r="G3" s="131" t="s">
        <v>109</v>
      </c>
      <c r="H3" s="131" t="s">
        <v>100</v>
      </c>
      <c r="I3" s="131" t="s">
        <v>110</v>
      </c>
      <c r="J3" s="131" t="s">
        <v>111</v>
      </c>
      <c r="K3" s="131" t="s">
        <v>112</v>
      </c>
      <c r="L3" s="131" t="s">
        <v>113</v>
      </c>
      <c r="M3" s="142"/>
    </row>
    <row r="4" ht="22.5" customHeight="1">
      <c r="A4" s="131" t="s">
        <v>115</v>
      </c>
      <c r="B4" s="131" t="s">
        <v>106</v>
      </c>
      <c r="C4" s="131" t="s">
        <v>116</v>
      </c>
      <c r="D4" s="131" t="s">
        <v>117</v>
      </c>
      <c r="E4" s="131" t="s">
        <v>118</v>
      </c>
      <c r="F4" s="131" t="s">
        <v>119</v>
      </c>
      <c r="G4" s="131" t="s">
        <v>99</v>
      </c>
      <c r="H4" s="131" t="s">
        <v>100</v>
      </c>
      <c r="I4" s="131" t="s">
        <v>120</v>
      </c>
      <c r="J4" s="131" t="s">
        <v>112</v>
      </c>
      <c r="K4" s="131" t="s">
        <v>102</v>
      </c>
      <c r="L4" s="131" t="s">
        <v>121</v>
      </c>
      <c r="M4" s="142"/>
    </row>
    <row r="5" ht="22.5" customHeight="1">
      <c r="A5" s="131" t="s">
        <v>123</v>
      </c>
      <c r="B5" s="131" t="s">
        <v>124</v>
      </c>
      <c r="C5" s="131" t="s">
        <v>116</v>
      </c>
      <c r="D5" s="131" t="s">
        <v>96</v>
      </c>
      <c r="E5" s="131" t="s">
        <v>97</v>
      </c>
      <c r="F5" s="131" t="s">
        <v>125</v>
      </c>
      <c r="G5" s="131" t="s">
        <v>109</v>
      </c>
      <c r="H5" s="131" t="s">
        <v>126</v>
      </c>
      <c r="I5" s="131" t="s">
        <v>127</v>
      </c>
      <c r="J5" s="131" t="s">
        <v>112</v>
      </c>
      <c r="K5" s="131" t="s">
        <v>112</v>
      </c>
      <c r="L5" s="131" t="s">
        <v>128</v>
      </c>
      <c r="M5" s="142"/>
    </row>
    <row r="6" ht="22.5" customHeight="1">
      <c r="A6" s="131" t="s">
        <v>130</v>
      </c>
      <c r="B6" s="131" t="s">
        <v>94</v>
      </c>
      <c r="C6" s="131" t="s">
        <v>95</v>
      </c>
      <c r="D6" s="131" t="s">
        <v>131</v>
      </c>
      <c r="E6" s="131" t="s">
        <v>118</v>
      </c>
      <c r="F6" s="131" t="s">
        <v>98</v>
      </c>
      <c r="G6" s="131" t="s">
        <v>132</v>
      </c>
      <c r="H6" s="131" t="s">
        <v>100</v>
      </c>
      <c r="I6" s="131" t="s">
        <v>133</v>
      </c>
      <c r="J6" s="131" t="s">
        <v>111</v>
      </c>
      <c r="K6" s="131" t="s">
        <v>112</v>
      </c>
      <c r="L6" s="131" t="s">
        <v>134</v>
      </c>
      <c r="M6" s="142"/>
    </row>
    <row r="7" ht="22.5" customHeight="1">
      <c r="A7" s="131" t="s">
        <v>136</v>
      </c>
      <c r="B7" s="131" t="s">
        <v>124</v>
      </c>
      <c r="C7" s="131" t="s">
        <v>137</v>
      </c>
      <c r="D7" s="131" t="s">
        <v>131</v>
      </c>
      <c r="E7" s="131" t="s">
        <v>108</v>
      </c>
      <c r="F7" s="131" t="s">
        <v>119</v>
      </c>
      <c r="G7" s="131" t="s">
        <v>109</v>
      </c>
      <c r="H7" s="131" t="s">
        <v>100</v>
      </c>
      <c r="I7" s="131" t="s">
        <v>138</v>
      </c>
      <c r="J7" s="131" t="s">
        <v>102</v>
      </c>
      <c r="K7" s="131" t="s">
        <v>112</v>
      </c>
      <c r="L7" s="131" t="s">
        <v>139</v>
      </c>
      <c r="M7" s="142"/>
    </row>
    <row r="8" ht="22.5" customHeight="1">
      <c r="A8" s="131" t="s">
        <v>141</v>
      </c>
      <c r="B8" s="131" t="s">
        <v>124</v>
      </c>
      <c r="C8" s="131" t="s">
        <v>116</v>
      </c>
      <c r="D8" s="131" t="s">
        <v>131</v>
      </c>
      <c r="E8" s="131" t="s">
        <v>108</v>
      </c>
      <c r="F8" s="131" t="s">
        <v>119</v>
      </c>
      <c r="G8" s="131" t="s">
        <v>132</v>
      </c>
      <c r="H8" s="131" t="s">
        <v>126</v>
      </c>
      <c r="I8" s="131" t="s">
        <v>120</v>
      </c>
      <c r="J8" s="131" t="s">
        <v>112</v>
      </c>
      <c r="K8" s="131" t="s">
        <v>112</v>
      </c>
      <c r="L8" s="131" t="s">
        <v>142</v>
      </c>
      <c r="M8" s="142"/>
    </row>
    <row r="9" ht="22.5" customHeight="1">
      <c r="A9" s="131" t="s">
        <v>144</v>
      </c>
      <c r="B9" s="131" t="s">
        <v>94</v>
      </c>
      <c r="C9" s="131" t="s">
        <v>95</v>
      </c>
      <c r="D9" s="131" t="s">
        <v>96</v>
      </c>
      <c r="E9" s="131" t="s">
        <v>97</v>
      </c>
      <c r="F9" s="131" t="s">
        <v>125</v>
      </c>
      <c r="G9" s="131" t="s">
        <v>109</v>
      </c>
      <c r="H9" s="131" t="s">
        <v>100</v>
      </c>
      <c r="I9" s="131" t="s">
        <v>145</v>
      </c>
      <c r="J9" s="131" t="s">
        <v>102</v>
      </c>
      <c r="K9" s="131" t="s">
        <v>102</v>
      </c>
      <c r="L9" s="131" t="s">
        <v>142</v>
      </c>
      <c r="M9" s="142"/>
    </row>
    <row r="10" ht="22.5" customHeight="1">
      <c r="A10" s="131" t="s">
        <v>147</v>
      </c>
      <c r="B10" s="131" t="s">
        <v>148</v>
      </c>
      <c r="C10" s="131" t="s">
        <v>137</v>
      </c>
      <c r="D10" s="131" t="s">
        <v>117</v>
      </c>
      <c r="E10" s="131" t="s">
        <v>118</v>
      </c>
      <c r="F10" s="131" t="s">
        <v>98</v>
      </c>
      <c r="G10" s="131" t="s">
        <v>132</v>
      </c>
      <c r="H10" s="131" t="s">
        <v>100</v>
      </c>
      <c r="I10" s="131" t="s">
        <v>149</v>
      </c>
      <c r="J10" s="131" t="s">
        <v>102</v>
      </c>
      <c r="K10" s="131" t="s">
        <v>102</v>
      </c>
      <c r="L10" s="131" t="s">
        <v>134</v>
      </c>
      <c r="M10" s="142"/>
    </row>
    <row r="11" ht="22.5" customHeight="1">
      <c r="A11" s="131" t="s">
        <v>151</v>
      </c>
      <c r="B11" s="131" t="s">
        <v>152</v>
      </c>
      <c r="C11" s="131" t="s">
        <v>116</v>
      </c>
      <c r="D11" s="131" t="s">
        <v>107</v>
      </c>
      <c r="E11" s="131" t="s">
        <v>118</v>
      </c>
      <c r="F11" s="131" t="s">
        <v>119</v>
      </c>
      <c r="G11" s="131" t="s">
        <v>109</v>
      </c>
      <c r="H11" s="131" t="s">
        <v>153</v>
      </c>
      <c r="I11" s="131" t="s">
        <v>127</v>
      </c>
      <c r="J11" s="131" t="s">
        <v>111</v>
      </c>
      <c r="K11" s="131" t="s">
        <v>102</v>
      </c>
      <c r="L11" s="131" t="s">
        <v>142</v>
      </c>
      <c r="M11" s="142"/>
    </row>
    <row r="12" ht="22.5" customHeight="1">
      <c r="A12" s="131" t="s">
        <v>155</v>
      </c>
      <c r="B12" s="131" t="s">
        <v>124</v>
      </c>
      <c r="C12" s="131" t="s">
        <v>95</v>
      </c>
      <c r="D12" s="131" t="s">
        <v>96</v>
      </c>
      <c r="E12" s="131" t="s">
        <v>118</v>
      </c>
      <c r="F12" s="131" t="s">
        <v>98</v>
      </c>
      <c r="G12" s="131" t="s">
        <v>109</v>
      </c>
      <c r="H12" s="131" t="s">
        <v>156</v>
      </c>
      <c r="I12" s="131" t="s">
        <v>120</v>
      </c>
      <c r="J12" s="131" t="s">
        <v>111</v>
      </c>
      <c r="K12" s="131" t="s">
        <v>112</v>
      </c>
      <c r="L12" s="131" t="s">
        <v>128</v>
      </c>
      <c r="M12" s="142"/>
    </row>
    <row r="13" ht="22.5" customHeight="1">
      <c r="A13" s="131" t="s">
        <v>158</v>
      </c>
      <c r="B13" s="131" t="s">
        <v>106</v>
      </c>
      <c r="C13" s="131" t="s">
        <v>137</v>
      </c>
      <c r="D13" s="131" t="s">
        <v>131</v>
      </c>
      <c r="E13" s="131" t="s">
        <v>108</v>
      </c>
      <c r="F13" s="131" t="s">
        <v>125</v>
      </c>
      <c r="G13" s="131" t="s">
        <v>132</v>
      </c>
      <c r="H13" s="131" t="s">
        <v>100</v>
      </c>
      <c r="I13" s="131" t="s">
        <v>149</v>
      </c>
      <c r="J13" s="131" t="s">
        <v>112</v>
      </c>
      <c r="K13" s="131" t="s">
        <v>112</v>
      </c>
      <c r="L13" s="131" t="s">
        <v>128</v>
      </c>
      <c r="M13" s="142"/>
    </row>
    <row r="14" ht="22.5" customHeight="1">
      <c r="A14" s="131" t="s">
        <v>160</v>
      </c>
      <c r="B14" s="131" t="s">
        <v>94</v>
      </c>
      <c r="C14" s="131" t="s">
        <v>95</v>
      </c>
      <c r="D14" s="131" t="s">
        <v>107</v>
      </c>
      <c r="E14" s="131" t="s">
        <v>97</v>
      </c>
      <c r="F14" s="131" t="s">
        <v>125</v>
      </c>
      <c r="G14" s="131" t="s">
        <v>109</v>
      </c>
      <c r="H14" s="131" t="s">
        <v>100</v>
      </c>
      <c r="I14" s="131" t="s">
        <v>138</v>
      </c>
      <c r="J14" s="131" t="s">
        <v>111</v>
      </c>
      <c r="K14" s="131" t="s">
        <v>112</v>
      </c>
      <c r="L14" s="131" t="s">
        <v>134</v>
      </c>
      <c r="M14" s="142"/>
    </row>
    <row r="15" ht="22.5" customHeight="1">
      <c r="A15" s="131" t="s">
        <v>162</v>
      </c>
      <c r="B15" s="131" t="s">
        <v>124</v>
      </c>
      <c r="C15" s="131" t="s">
        <v>116</v>
      </c>
      <c r="D15" s="131" t="s">
        <v>117</v>
      </c>
      <c r="E15" s="131" t="s">
        <v>97</v>
      </c>
      <c r="F15" s="131" t="s">
        <v>125</v>
      </c>
      <c r="G15" s="131" t="s">
        <v>109</v>
      </c>
      <c r="H15" s="131" t="s">
        <v>163</v>
      </c>
      <c r="I15" s="131" t="s">
        <v>164</v>
      </c>
      <c r="J15" s="131" t="s">
        <v>111</v>
      </c>
      <c r="K15" s="131" t="s">
        <v>112</v>
      </c>
      <c r="L15" s="131" t="s">
        <v>165</v>
      </c>
      <c r="M15" s="142"/>
    </row>
    <row r="16" ht="22.5" customHeight="1">
      <c r="A16" s="131" t="s">
        <v>167</v>
      </c>
      <c r="B16" s="131" t="s">
        <v>148</v>
      </c>
      <c r="C16" s="131" t="s">
        <v>137</v>
      </c>
      <c r="D16" s="131" t="s">
        <v>107</v>
      </c>
      <c r="E16" s="131" t="s">
        <v>97</v>
      </c>
      <c r="F16" s="131" t="s">
        <v>98</v>
      </c>
      <c r="G16" s="131" t="s">
        <v>99</v>
      </c>
      <c r="H16" s="131" t="s">
        <v>126</v>
      </c>
      <c r="I16" s="131" t="s">
        <v>138</v>
      </c>
      <c r="J16" s="131" t="s">
        <v>102</v>
      </c>
      <c r="K16" s="131" t="s">
        <v>102</v>
      </c>
      <c r="L16" s="131" t="s">
        <v>113</v>
      </c>
      <c r="M16" s="142"/>
    </row>
    <row r="17" ht="22.5" customHeight="1">
      <c r="A17" s="131" t="s">
        <v>169</v>
      </c>
      <c r="B17" s="131" t="s">
        <v>106</v>
      </c>
      <c r="C17" s="131" t="s">
        <v>95</v>
      </c>
      <c r="D17" s="131" t="s">
        <v>107</v>
      </c>
      <c r="E17" s="131" t="s">
        <v>118</v>
      </c>
      <c r="F17" s="131" t="s">
        <v>98</v>
      </c>
      <c r="G17" s="131" t="s">
        <v>109</v>
      </c>
      <c r="H17" s="131" t="s">
        <v>156</v>
      </c>
      <c r="I17" s="131" t="s">
        <v>170</v>
      </c>
      <c r="J17" s="131" t="s">
        <v>102</v>
      </c>
      <c r="K17" s="131" t="s">
        <v>112</v>
      </c>
      <c r="L17" s="131" t="s">
        <v>128</v>
      </c>
      <c r="M17" s="142"/>
    </row>
    <row r="18" ht="22.5" customHeight="1">
      <c r="A18" s="131" t="s">
        <v>172</v>
      </c>
      <c r="B18" s="131" t="s">
        <v>152</v>
      </c>
      <c r="C18" s="131" t="s">
        <v>137</v>
      </c>
      <c r="D18" s="131" t="s">
        <v>131</v>
      </c>
      <c r="E18" s="131" t="s">
        <v>97</v>
      </c>
      <c r="F18" s="131" t="s">
        <v>98</v>
      </c>
      <c r="G18" s="131" t="s">
        <v>109</v>
      </c>
      <c r="H18" s="131" t="s">
        <v>156</v>
      </c>
      <c r="I18" s="131" t="s">
        <v>173</v>
      </c>
      <c r="J18" s="131" t="s">
        <v>111</v>
      </c>
      <c r="K18" s="131" t="s">
        <v>102</v>
      </c>
      <c r="L18" s="131" t="s">
        <v>103</v>
      </c>
      <c r="M18" s="142"/>
    </row>
    <row r="19" ht="22.5" customHeight="1">
      <c r="A19" s="131" t="s">
        <v>175</v>
      </c>
      <c r="B19" s="131" t="s">
        <v>94</v>
      </c>
      <c r="C19" s="131" t="s">
        <v>137</v>
      </c>
      <c r="D19" s="131" t="s">
        <v>96</v>
      </c>
      <c r="E19" s="131" t="s">
        <v>97</v>
      </c>
      <c r="F19" s="131" t="s">
        <v>98</v>
      </c>
      <c r="G19" s="131" t="s">
        <v>99</v>
      </c>
      <c r="H19" s="131" t="s">
        <v>100</v>
      </c>
      <c r="I19" s="131" t="s">
        <v>101</v>
      </c>
      <c r="J19" s="131" t="s">
        <v>102</v>
      </c>
      <c r="K19" s="131" t="s">
        <v>112</v>
      </c>
      <c r="L19" s="131" t="s">
        <v>165</v>
      </c>
      <c r="M19" s="142"/>
    </row>
    <row r="20" ht="22.5" customHeight="1">
      <c r="A20" s="131" t="s">
        <v>177</v>
      </c>
      <c r="B20" s="131" t="s">
        <v>106</v>
      </c>
      <c r="C20" s="131" t="s">
        <v>95</v>
      </c>
      <c r="D20" s="131" t="s">
        <v>117</v>
      </c>
      <c r="E20" s="131" t="s">
        <v>108</v>
      </c>
      <c r="F20" s="131" t="s">
        <v>98</v>
      </c>
      <c r="G20" s="131" t="s">
        <v>99</v>
      </c>
      <c r="H20" s="131" t="s">
        <v>100</v>
      </c>
      <c r="I20" s="131" t="s">
        <v>120</v>
      </c>
      <c r="J20" s="131" t="s">
        <v>102</v>
      </c>
      <c r="K20" s="131" t="s">
        <v>102</v>
      </c>
      <c r="L20" s="131" t="s">
        <v>139</v>
      </c>
      <c r="M20" s="142"/>
    </row>
    <row r="21" ht="22.5" customHeight="1">
      <c r="A21" s="131" t="s">
        <v>179</v>
      </c>
      <c r="B21" s="131" t="s">
        <v>152</v>
      </c>
      <c r="C21" s="131" t="s">
        <v>137</v>
      </c>
      <c r="D21" s="131" t="s">
        <v>131</v>
      </c>
      <c r="E21" s="131" t="s">
        <v>118</v>
      </c>
      <c r="F21" s="131" t="s">
        <v>98</v>
      </c>
      <c r="G21" s="131" t="s">
        <v>99</v>
      </c>
      <c r="H21" s="131" t="s">
        <v>126</v>
      </c>
      <c r="I21" s="131" t="s">
        <v>133</v>
      </c>
      <c r="J21" s="131" t="s">
        <v>112</v>
      </c>
      <c r="K21" s="131" t="s">
        <v>112</v>
      </c>
      <c r="L21" s="131" t="s">
        <v>165</v>
      </c>
      <c r="M21" s="142"/>
    </row>
    <row r="22" ht="22.5" customHeight="1">
      <c r="A22" s="131" t="s">
        <v>181</v>
      </c>
      <c r="B22" s="131" t="s">
        <v>106</v>
      </c>
      <c r="C22" s="131" t="s">
        <v>95</v>
      </c>
      <c r="D22" s="131" t="s">
        <v>96</v>
      </c>
      <c r="E22" s="131" t="s">
        <v>97</v>
      </c>
      <c r="F22" s="131" t="s">
        <v>98</v>
      </c>
      <c r="G22" s="131" t="s">
        <v>109</v>
      </c>
      <c r="H22" s="131" t="s">
        <v>100</v>
      </c>
      <c r="I22" s="131" t="s">
        <v>145</v>
      </c>
      <c r="J22" s="131" t="s">
        <v>102</v>
      </c>
      <c r="K22" s="131" t="s">
        <v>102</v>
      </c>
      <c r="L22" s="131" t="s">
        <v>165</v>
      </c>
      <c r="M22" s="142"/>
    </row>
    <row r="23" ht="22.5" customHeight="1">
      <c r="A23" s="131" t="s">
        <v>183</v>
      </c>
      <c r="B23" s="131" t="s">
        <v>148</v>
      </c>
      <c r="C23" s="131" t="s">
        <v>116</v>
      </c>
      <c r="D23" s="131" t="s">
        <v>131</v>
      </c>
      <c r="E23" s="131" t="s">
        <v>97</v>
      </c>
      <c r="F23" s="131" t="s">
        <v>125</v>
      </c>
      <c r="G23" s="131" t="s">
        <v>99</v>
      </c>
      <c r="H23" s="131" t="s">
        <v>163</v>
      </c>
      <c r="I23" s="131" t="s">
        <v>120</v>
      </c>
      <c r="J23" s="131" t="s">
        <v>111</v>
      </c>
      <c r="K23" s="131" t="s">
        <v>102</v>
      </c>
      <c r="L23" s="131" t="s">
        <v>139</v>
      </c>
      <c r="M23" s="142"/>
    </row>
    <row r="24" ht="22.5" customHeight="1">
      <c r="A24" s="131" t="s">
        <v>185</v>
      </c>
      <c r="B24" s="131" t="s">
        <v>94</v>
      </c>
      <c r="C24" s="131" t="s">
        <v>116</v>
      </c>
      <c r="D24" s="131" t="s">
        <v>131</v>
      </c>
      <c r="E24" s="131" t="s">
        <v>108</v>
      </c>
      <c r="F24" s="131" t="s">
        <v>125</v>
      </c>
      <c r="G24" s="131" t="s">
        <v>99</v>
      </c>
      <c r="H24" s="131" t="s">
        <v>100</v>
      </c>
      <c r="I24" s="131" t="s">
        <v>133</v>
      </c>
      <c r="J24" s="131" t="s">
        <v>102</v>
      </c>
      <c r="K24" s="131" t="s">
        <v>112</v>
      </c>
      <c r="L24" s="131" t="s">
        <v>128</v>
      </c>
      <c r="M24" s="142"/>
    </row>
    <row r="25" ht="22.5" customHeight="1">
      <c r="A25" s="131" t="s">
        <v>187</v>
      </c>
      <c r="B25" s="131" t="s">
        <v>124</v>
      </c>
      <c r="C25" s="131" t="s">
        <v>137</v>
      </c>
      <c r="D25" s="131" t="s">
        <v>131</v>
      </c>
      <c r="E25" s="131" t="s">
        <v>108</v>
      </c>
      <c r="F25" s="131" t="s">
        <v>125</v>
      </c>
      <c r="G25" s="131" t="s">
        <v>99</v>
      </c>
      <c r="H25" s="131" t="s">
        <v>156</v>
      </c>
      <c r="I25" s="131" t="s">
        <v>120</v>
      </c>
      <c r="J25" s="131" t="s">
        <v>112</v>
      </c>
      <c r="K25" s="131" t="s">
        <v>102</v>
      </c>
      <c r="L25" s="131" t="s">
        <v>103</v>
      </c>
      <c r="M25" s="142"/>
    </row>
    <row r="26" ht="22.5" customHeight="1">
      <c r="A26" s="131" t="s">
        <v>189</v>
      </c>
      <c r="B26" s="131" t="s">
        <v>148</v>
      </c>
      <c r="C26" s="131" t="s">
        <v>95</v>
      </c>
      <c r="D26" s="131" t="s">
        <v>96</v>
      </c>
      <c r="E26" s="131" t="s">
        <v>97</v>
      </c>
      <c r="F26" s="131" t="s">
        <v>119</v>
      </c>
      <c r="G26" s="131" t="s">
        <v>132</v>
      </c>
      <c r="H26" s="131" t="s">
        <v>100</v>
      </c>
      <c r="I26" s="131" t="s">
        <v>190</v>
      </c>
      <c r="J26" s="131" t="s">
        <v>112</v>
      </c>
      <c r="K26" s="131" t="s">
        <v>112</v>
      </c>
      <c r="L26" s="131" t="s">
        <v>113</v>
      </c>
      <c r="M26" s="142"/>
    </row>
    <row r="27" ht="22.5" customHeight="1">
      <c r="A27" s="131" t="s">
        <v>192</v>
      </c>
      <c r="B27" s="131" t="s">
        <v>148</v>
      </c>
      <c r="C27" s="131" t="s">
        <v>137</v>
      </c>
      <c r="D27" s="131" t="s">
        <v>107</v>
      </c>
      <c r="E27" s="131" t="s">
        <v>97</v>
      </c>
      <c r="F27" s="131" t="s">
        <v>119</v>
      </c>
      <c r="G27" s="131" t="s">
        <v>99</v>
      </c>
      <c r="H27" s="131" t="s">
        <v>126</v>
      </c>
      <c r="I27" s="131" t="s">
        <v>145</v>
      </c>
      <c r="J27" s="131" t="s">
        <v>112</v>
      </c>
      <c r="K27" s="131" t="s">
        <v>102</v>
      </c>
      <c r="L27" s="131" t="s">
        <v>121</v>
      </c>
      <c r="M27" s="142"/>
    </row>
    <row r="28" ht="22.5" customHeight="1">
      <c r="A28" s="131" t="s">
        <v>194</v>
      </c>
      <c r="B28" s="131" t="s">
        <v>106</v>
      </c>
      <c r="C28" s="131" t="s">
        <v>116</v>
      </c>
      <c r="D28" s="131" t="s">
        <v>96</v>
      </c>
      <c r="E28" s="131" t="s">
        <v>108</v>
      </c>
      <c r="F28" s="131" t="s">
        <v>119</v>
      </c>
      <c r="G28" s="131" t="s">
        <v>99</v>
      </c>
      <c r="H28" s="131" t="s">
        <v>100</v>
      </c>
      <c r="I28" s="131" t="s">
        <v>101</v>
      </c>
      <c r="J28" s="131" t="s">
        <v>112</v>
      </c>
      <c r="K28" s="131" t="s">
        <v>102</v>
      </c>
      <c r="L28" s="131" t="s">
        <v>113</v>
      </c>
      <c r="M28" s="142"/>
    </row>
    <row r="29" ht="22.5" customHeight="1">
      <c r="A29" s="131" t="s">
        <v>196</v>
      </c>
      <c r="B29" s="131" t="s">
        <v>124</v>
      </c>
      <c r="C29" s="131" t="s">
        <v>95</v>
      </c>
      <c r="D29" s="131" t="s">
        <v>96</v>
      </c>
      <c r="E29" s="131" t="s">
        <v>97</v>
      </c>
      <c r="F29" s="131" t="s">
        <v>125</v>
      </c>
      <c r="G29" s="131" t="s">
        <v>109</v>
      </c>
      <c r="H29" s="131" t="s">
        <v>153</v>
      </c>
      <c r="I29" s="131" t="s">
        <v>120</v>
      </c>
      <c r="J29" s="131" t="s">
        <v>102</v>
      </c>
      <c r="K29" s="131" t="s">
        <v>102</v>
      </c>
      <c r="L29" s="131" t="s">
        <v>113</v>
      </c>
      <c r="M29" s="142"/>
    </row>
    <row r="30" ht="22.5" customHeight="1">
      <c r="A30" s="131" t="s">
        <v>198</v>
      </c>
      <c r="B30" s="131" t="s">
        <v>124</v>
      </c>
      <c r="C30" s="131" t="s">
        <v>116</v>
      </c>
      <c r="D30" s="131" t="s">
        <v>131</v>
      </c>
      <c r="E30" s="131" t="s">
        <v>118</v>
      </c>
      <c r="F30" s="131" t="s">
        <v>98</v>
      </c>
      <c r="G30" s="131" t="s">
        <v>99</v>
      </c>
      <c r="H30" s="131" t="s">
        <v>100</v>
      </c>
      <c r="I30" s="131" t="s">
        <v>145</v>
      </c>
      <c r="J30" s="131" t="s">
        <v>102</v>
      </c>
      <c r="K30" s="131" t="s">
        <v>102</v>
      </c>
      <c r="L30" s="131" t="s">
        <v>103</v>
      </c>
      <c r="M30" s="142"/>
    </row>
    <row r="31" ht="22.5" customHeight="1">
      <c r="A31" s="131" t="s">
        <v>200</v>
      </c>
      <c r="B31" s="131" t="s">
        <v>124</v>
      </c>
      <c r="C31" s="131" t="s">
        <v>116</v>
      </c>
      <c r="D31" s="131" t="s">
        <v>117</v>
      </c>
      <c r="E31" s="131" t="s">
        <v>108</v>
      </c>
      <c r="F31" s="131" t="s">
        <v>125</v>
      </c>
      <c r="G31" s="131" t="s">
        <v>99</v>
      </c>
      <c r="H31" s="131" t="s">
        <v>163</v>
      </c>
      <c r="I31" s="131" t="s">
        <v>138</v>
      </c>
      <c r="J31" s="131" t="s">
        <v>112</v>
      </c>
      <c r="K31" s="131" t="s">
        <v>102</v>
      </c>
      <c r="L31" s="131" t="s">
        <v>134</v>
      </c>
      <c r="M31" s="142"/>
    </row>
    <row r="32" ht="22.5" customHeight="1">
      <c r="A32" s="131" t="s">
        <v>202</v>
      </c>
      <c r="B32" s="131" t="s">
        <v>124</v>
      </c>
      <c r="C32" s="131" t="s">
        <v>137</v>
      </c>
      <c r="D32" s="131" t="s">
        <v>131</v>
      </c>
      <c r="E32" s="131" t="s">
        <v>118</v>
      </c>
      <c r="F32" s="131" t="s">
        <v>98</v>
      </c>
      <c r="G32" s="131" t="s">
        <v>109</v>
      </c>
      <c r="H32" s="131" t="s">
        <v>100</v>
      </c>
      <c r="I32" s="131" t="s">
        <v>203</v>
      </c>
      <c r="J32" s="131" t="s">
        <v>102</v>
      </c>
      <c r="K32" s="131" t="s">
        <v>102</v>
      </c>
      <c r="L32" s="131" t="s">
        <v>165</v>
      </c>
      <c r="M32" s="142"/>
    </row>
    <row r="33" ht="22.5" customHeight="1">
      <c r="A33" s="131" t="s">
        <v>205</v>
      </c>
      <c r="B33" s="131" t="s">
        <v>124</v>
      </c>
      <c r="C33" s="131" t="s">
        <v>137</v>
      </c>
      <c r="D33" s="131" t="s">
        <v>131</v>
      </c>
      <c r="E33" s="131" t="s">
        <v>97</v>
      </c>
      <c r="F33" s="131" t="s">
        <v>98</v>
      </c>
      <c r="G33" s="131" t="s">
        <v>109</v>
      </c>
      <c r="H33" s="131" t="s">
        <v>153</v>
      </c>
      <c r="I33" s="131" t="s">
        <v>190</v>
      </c>
      <c r="J33" s="131" t="s">
        <v>112</v>
      </c>
      <c r="K33" s="131" t="s">
        <v>112</v>
      </c>
      <c r="L33" s="131" t="s">
        <v>139</v>
      </c>
      <c r="M33" s="142"/>
    </row>
    <row r="34" ht="22.5" customHeight="1">
      <c r="A34" s="131" t="s">
        <v>207</v>
      </c>
      <c r="B34" s="131" t="s">
        <v>148</v>
      </c>
      <c r="C34" s="131" t="s">
        <v>137</v>
      </c>
      <c r="D34" s="131" t="s">
        <v>107</v>
      </c>
      <c r="E34" s="131" t="s">
        <v>97</v>
      </c>
      <c r="F34" s="131" t="s">
        <v>119</v>
      </c>
      <c r="G34" s="131" t="s">
        <v>99</v>
      </c>
      <c r="H34" s="131" t="s">
        <v>156</v>
      </c>
      <c r="I34" s="131" t="s">
        <v>120</v>
      </c>
      <c r="J34" s="131" t="s">
        <v>111</v>
      </c>
      <c r="K34" s="131" t="s">
        <v>112</v>
      </c>
      <c r="L34" s="131" t="s">
        <v>121</v>
      </c>
      <c r="M34" s="142"/>
    </row>
    <row r="35" ht="22.5" customHeight="1">
      <c r="A35" s="131" t="s">
        <v>209</v>
      </c>
      <c r="B35" s="131" t="s">
        <v>124</v>
      </c>
      <c r="C35" s="131" t="s">
        <v>137</v>
      </c>
      <c r="D35" s="131" t="s">
        <v>107</v>
      </c>
      <c r="E35" s="131" t="s">
        <v>118</v>
      </c>
      <c r="F35" s="131" t="s">
        <v>125</v>
      </c>
      <c r="G35" s="131" t="s">
        <v>99</v>
      </c>
      <c r="H35" s="131" t="s">
        <v>126</v>
      </c>
      <c r="I35" s="131" t="s">
        <v>127</v>
      </c>
      <c r="J35" s="131" t="s">
        <v>111</v>
      </c>
      <c r="K35" s="131" t="s">
        <v>102</v>
      </c>
      <c r="L35" s="131" t="s">
        <v>121</v>
      </c>
      <c r="M35" s="142"/>
    </row>
    <row r="36" ht="22.5" customHeight="1">
      <c r="A36" s="131" t="s">
        <v>211</v>
      </c>
      <c r="B36" s="131" t="s">
        <v>152</v>
      </c>
      <c r="C36" s="131" t="s">
        <v>95</v>
      </c>
      <c r="D36" s="131" t="s">
        <v>96</v>
      </c>
      <c r="E36" s="131" t="s">
        <v>108</v>
      </c>
      <c r="F36" s="131" t="s">
        <v>119</v>
      </c>
      <c r="G36" s="131" t="s">
        <v>109</v>
      </c>
      <c r="H36" s="131" t="s">
        <v>100</v>
      </c>
      <c r="I36" s="131" t="s">
        <v>212</v>
      </c>
      <c r="J36" s="131" t="s">
        <v>112</v>
      </c>
      <c r="K36" s="131" t="s">
        <v>112</v>
      </c>
      <c r="L36" s="131" t="s">
        <v>139</v>
      </c>
      <c r="M36" s="142"/>
    </row>
    <row r="37" ht="22.5" customHeight="1">
      <c r="A37" s="131" t="s">
        <v>214</v>
      </c>
      <c r="B37" s="131" t="s">
        <v>124</v>
      </c>
      <c r="C37" s="131" t="s">
        <v>116</v>
      </c>
      <c r="D37" s="131" t="s">
        <v>131</v>
      </c>
      <c r="E37" s="131" t="s">
        <v>97</v>
      </c>
      <c r="F37" s="131" t="s">
        <v>119</v>
      </c>
      <c r="G37" s="131" t="s">
        <v>109</v>
      </c>
      <c r="H37" s="131" t="s">
        <v>153</v>
      </c>
      <c r="I37" s="131" t="s">
        <v>145</v>
      </c>
      <c r="J37" s="131" t="s">
        <v>112</v>
      </c>
      <c r="K37" s="131" t="s">
        <v>102</v>
      </c>
      <c r="L37" s="131" t="s">
        <v>142</v>
      </c>
      <c r="M37" s="142"/>
    </row>
    <row r="38" ht="22.5" customHeight="1">
      <c r="A38" s="131" t="s">
        <v>216</v>
      </c>
      <c r="B38" s="131" t="s">
        <v>124</v>
      </c>
      <c r="C38" s="131" t="s">
        <v>95</v>
      </c>
      <c r="D38" s="131" t="s">
        <v>117</v>
      </c>
      <c r="E38" s="131" t="s">
        <v>108</v>
      </c>
      <c r="F38" s="131" t="s">
        <v>125</v>
      </c>
      <c r="G38" s="131" t="s">
        <v>109</v>
      </c>
      <c r="H38" s="131" t="s">
        <v>100</v>
      </c>
      <c r="I38" s="131" t="s">
        <v>164</v>
      </c>
      <c r="J38" s="131" t="s">
        <v>102</v>
      </c>
      <c r="K38" s="131" t="s">
        <v>112</v>
      </c>
      <c r="L38" s="131" t="s">
        <v>134</v>
      </c>
      <c r="M38" s="142"/>
    </row>
    <row r="39" ht="22.5" customHeight="1">
      <c r="A39" s="131" t="s">
        <v>218</v>
      </c>
      <c r="B39" s="131" t="s">
        <v>94</v>
      </c>
      <c r="C39" s="131" t="s">
        <v>137</v>
      </c>
      <c r="D39" s="131" t="s">
        <v>96</v>
      </c>
      <c r="E39" s="131" t="s">
        <v>97</v>
      </c>
      <c r="F39" s="131" t="s">
        <v>98</v>
      </c>
      <c r="G39" s="131" t="s">
        <v>109</v>
      </c>
      <c r="H39" s="131" t="s">
        <v>100</v>
      </c>
      <c r="I39" s="131" t="s">
        <v>138</v>
      </c>
      <c r="J39" s="131" t="s">
        <v>102</v>
      </c>
      <c r="K39" s="131" t="s">
        <v>102</v>
      </c>
      <c r="L39" s="131" t="s">
        <v>128</v>
      </c>
      <c r="M39" s="142"/>
    </row>
    <row r="40" ht="22.5" customHeight="1">
      <c r="A40" s="131" t="s">
        <v>220</v>
      </c>
      <c r="B40" s="131" t="s">
        <v>152</v>
      </c>
      <c r="C40" s="131" t="s">
        <v>116</v>
      </c>
      <c r="D40" s="131" t="s">
        <v>107</v>
      </c>
      <c r="E40" s="131" t="s">
        <v>118</v>
      </c>
      <c r="F40" s="131" t="s">
        <v>119</v>
      </c>
      <c r="G40" s="131" t="s">
        <v>132</v>
      </c>
      <c r="H40" s="131" t="s">
        <v>100</v>
      </c>
      <c r="I40" s="131" t="s">
        <v>101</v>
      </c>
      <c r="J40" s="131" t="s">
        <v>112</v>
      </c>
      <c r="K40" s="131" t="s">
        <v>112</v>
      </c>
      <c r="L40" s="131" t="s">
        <v>128</v>
      </c>
      <c r="M40" s="142"/>
    </row>
    <row r="41" ht="22.5" customHeight="1">
      <c r="A41" s="131" t="s">
        <v>222</v>
      </c>
      <c r="B41" s="131" t="s">
        <v>106</v>
      </c>
      <c r="C41" s="131" t="s">
        <v>116</v>
      </c>
      <c r="D41" s="131" t="s">
        <v>107</v>
      </c>
      <c r="E41" s="131" t="s">
        <v>97</v>
      </c>
      <c r="F41" s="131" t="s">
        <v>119</v>
      </c>
      <c r="G41" s="131" t="s">
        <v>99</v>
      </c>
      <c r="H41" s="131" t="s">
        <v>100</v>
      </c>
      <c r="I41" s="131" t="s">
        <v>127</v>
      </c>
      <c r="J41" s="131" t="s">
        <v>102</v>
      </c>
      <c r="K41" s="131" t="s">
        <v>102</v>
      </c>
      <c r="L41" s="131" t="s">
        <v>165</v>
      </c>
      <c r="M41" s="142"/>
    </row>
    <row r="42" ht="22.5" customHeight="1">
      <c r="A42" s="131" t="s">
        <v>224</v>
      </c>
      <c r="B42" s="131" t="s">
        <v>106</v>
      </c>
      <c r="C42" s="131" t="s">
        <v>137</v>
      </c>
      <c r="D42" s="131" t="s">
        <v>96</v>
      </c>
      <c r="E42" s="131" t="s">
        <v>118</v>
      </c>
      <c r="F42" s="131" t="s">
        <v>125</v>
      </c>
      <c r="G42" s="131" t="s">
        <v>132</v>
      </c>
      <c r="H42" s="131" t="s">
        <v>100</v>
      </c>
      <c r="I42" s="131" t="s">
        <v>170</v>
      </c>
      <c r="J42" s="131" t="s">
        <v>112</v>
      </c>
      <c r="K42" s="131" t="s">
        <v>112</v>
      </c>
      <c r="L42" s="131" t="s">
        <v>142</v>
      </c>
      <c r="M42" s="142"/>
    </row>
    <row r="43" ht="22.5" customHeight="1">
      <c r="A43" s="131" t="s">
        <v>226</v>
      </c>
      <c r="B43" s="131" t="s">
        <v>106</v>
      </c>
      <c r="C43" s="131" t="s">
        <v>116</v>
      </c>
      <c r="D43" s="131" t="s">
        <v>96</v>
      </c>
      <c r="E43" s="131" t="s">
        <v>108</v>
      </c>
      <c r="F43" s="131" t="s">
        <v>119</v>
      </c>
      <c r="G43" s="131" t="s">
        <v>109</v>
      </c>
      <c r="H43" s="131" t="s">
        <v>156</v>
      </c>
      <c r="I43" s="131" t="s">
        <v>127</v>
      </c>
      <c r="J43" s="131" t="s">
        <v>112</v>
      </c>
      <c r="K43" s="131" t="s">
        <v>102</v>
      </c>
      <c r="L43" s="131" t="s">
        <v>142</v>
      </c>
      <c r="M43" s="142"/>
    </row>
    <row r="44" ht="22.5" customHeight="1">
      <c r="A44" s="131" t="s">
        <v>228</v>
      </c>
      <c r="B44" s="131" t="s">
        <v>124</v>
      </c>
      <c r="C44" s="131" t="s">
        <v>137</v>
      </c>
      <c r="D44" s="131" t="s">
        <v>107</v>
      </c>
      <c r="E44" s="131" t="s">
        <v>97</v>
      </c>
      <c r="F44" s="131" t="s">
        <v>98</v>
      </c>
      <c r="G44" s="131" t="s">
        <v>99</v>
      </c>
      <c r="H44" s="131" t="s">
        <v>100</v>
      </c>
      <c r="I44" s="131" t="s">
        <v>120</v>
      </c>
      <c r="J44" s="131" t="s">
        <v>112</v>
      </c>
      <c r="K44" s="131" t="s">
        <v>112</v>
      </c>
      <c r="L44" s="131" t="s">
        <v>121</v>
      </c>
      <c r="M44" s="142"/>
    </row>
    <row r="45" ht="22.5" customHeight="1">
      <c r="A45" s="131" t="s">
        <v>230</v>
      </c>
      <c r="B45" s="131" t="s">
        <v>148</v>
      </c>
      <c r="C45" s="131" t="s">
        <v>137</v>
      </c>
      <c r="D45" s="131" t="s">
        <v>117</v>
      </c>
      <c r="E45" s="131" t="s">
        <v>97</v>
      </c>
      <c r="F45" s="131" t="s">
        <v>98</v>
      </c>
      <c r="G45" s="131" t="s">
        <v>132</v>
      </c>
      <c r="H45" s="131" t="s">
        <v>100</v>
      </c>
      <c r="I45" s="131" t="s">
        <v>101</v>
      </c>
      <c r="J45" s="131" t="s">
        <v>112</v>
      </c>
      <c r="K45" s="131" t="s">
        <v>102</v>
      </c>
      <c r="L45" s="131" t="s">
        <v>121</v>
      </c>
      <c r="M45" s="142"/>
    </row>
    <row r="46" ht="22.5" customHeight="1">
      <c r="A46" s="131" t="s">
        <v>232</v>
      </c>
      <c r="B46" s="131" t="s">
        <v>124</v>
      </c>
      <c r="C46" s="131" t="s">
        <v>137</v>
      </c>
      <c r="D46" s="131" t="s">
        <v>117</v>
      </c>
      <c r="E46" s="131" t="s">
        <v>108</v>
      </c>
      <c r="F46" s="131" t="s">
        <v>125</v>
      </c>
      <c r="G46" s="131" t="s">
        <v>109</v>
      </c>
      <c r="H46" s="131" t="s">
        <v>100</v>
      </c>
      <c r="I46" s="131" t="s">
        <v>110</v>
      </c>
      <c r="J46" s="131" t="s">
        <v>112</v>
      </c>
      <c r="K46" s="131" t="s">
        <v>112</v>
      </c>
      <c r="L46" s="131" t="s">
        <v>113</v>
      </c>
      <c r="M46" s="142"/>
    </row>
    <row r="47" ht="22.5" customHeight="1">
      <c r="A47" s="131" t="s">
        <v>234</v>
      </c>
      <c r="B47" s="131" t="s">
        <v>152</v>
      </c>
      <c r="C47" s="131" t="s">
        <v>137</v>
      </c>
      <c r="D47" s="131" t="s">
        <v>117</v>
      </c>
      <c r="E47" s="131" t="s">
        <v>108</v>
      </c>
      <c r="F47" s="131" t="s">
        <v>98</v>
      </c>
      <c r="G47" s="131" t="s">
        <v>132</v>
      </c>
      <c r="H47" s="131" t="s">
        <v>163</v>
      </c>
      <c r="I47" s="131" t="s">
        <v>101</v>
      </c>
      <c r="J47" s="131" t="s">
        <v>111</v>
      </c>
      <c r="K47" s="131" t="s">
        <v>102</v>
      </c>
      <c r="L47" s="131" t="s">
        <v>103</v>
      </c>
      <c r="M47" s="142"/>
    </row>
    <row r="48" ht="22.5" customHeight="1">
      <c r="A48" s="131" t="s">
        <v>236</v>
      </c>
      <c r="B48" s="131" t="s">
        <v>152</v>
      </c>
      <c r="C48" s="131" t="s">
        <v>95</v>
      </c>
      <c r="D48" s="131" t="s">
        <v>117</v>
      </c>
      <c r="E48" s="131" t="s">
        <v>97</v>
      </c>
      <c r="F48" s="131" t="s">
        <v>98</v>
      </c>
      <c r="G48" s="131" t="s">
        <v>99</v>
      </c>
      <c r="H48" s="131" t="s">
        <v>156</v>
      </c>
      <c r="I48" s="131" t="s">
        <v>101</v>
      </c>
      <c r="J48" s="131" t="s">
        <v>112</v>
      </c>
      <c r="K48" s="131" t="s">
        <v>112</v>
      </c>
      <c r="L48" s="131" t="s">
        <v>139</v>
      </c>
      <c r="M48" s="142"/>
    </row>
    <row r="49" ht="22.5" customHeight="1">
      <c r="A49" s="131" t="s">
        <v>238</v>
      </c>
      <c r="B49" s="131" t="s">
        <v>124</v>
      </c>
      <c r="C49" s="131" t="s">
        <v>137</v>
      </c>
      <c r="D49" s="131" t="s">
        <v>96</v>
      </c>
      <c r="E49" s="131" t="s">
        <v>97</v>
      </c>
      <c r="F49" s="131" t="s">
        <v>119</v>
      </c>
      <c r="G49" s="131" t="s">
        <v>99</v>
      </c>
      <c r="H49" s="131" t="s">
        <v>100</v>
      </c>
      <c r="I49" s="131" t="s">
        <v>145</v>
      </c>
      <c r="J49" s="131" t="s">
        <v>102</v>
      </c>
      <c r="K49" s="131" t="s">
        <v>102</v>
      </c>
      <c r="L49" s="131" t="s">
        <v>113</v>
      </c>
      <c r="M49" s="142"/>
    </row>
    <row r="50" ht="22.5" customHeight="1">
      <c r="A50" s="131" t="s">
        <v>240</v>
      </c>
      <c r="B50" s="131" t="s">
        <v>94</v>
      </c>
      <c r="C50" s="131" t="s">
        <v>95</v>
      </c>
      <c r="D50" s="131" t="s">
        <v>131</v>
      </c>
      <c r="E50" s="131" t="s">
        <v>97</v>
      </c>
      <c r="F50" s="131" t="s">
        <v>125</v>
      </c>
      <c r="G50" s="131" t="s">
        <v>99</v>
      </c>
      <c r="H50" s="131" t="s">
        <v>100</v>
      </c>
      <c r="I50" s="131" t="s">
        <v>127</v>
      </c>
      <c r="J50" s="131" t="s">
        <v>102</v>
      </c>
      <c r="K50" s="131" t="s">
        <v>112</v>
      </c>
      <c r="L50" s="131" t="s">
        <v>142</v>
      </c>
      <c r="M50" s="142"/>
    </row>
    <row r="51" ht="22.5" customHeight="1">
      <c r="A51" s="131" t="s">
        <v>242</v>
      </c>
      <c r="B51" s="131" t="s">
        <v>124</v>
      </c>
      <c r="C51" s="131" t="s">
        <v>95</v>
      </c>
      <c r="D51" s="131" t="s">
        <v>107</v>
      </c>
      <c r="E51" s="131" t="s">
        <v>97</v>
      </c>
      <c r="F51" s="131" t="s">
        <v>119</v>
      </c>
      <c r="G51" s="131" t="s">
        <v>99</v>
      </c>
      <c r="H51" s="131" t="s">
        <v>100</v>
      </c>
      <c r="I51" s="131" t="s">
        <v>173</v>
      </c>
      <c r="J51" s="131" t="s">
        <v>111</v>
      </c>
      <c r="K51" s="131" t="s">
        <v>102</v>
      </c>
      <c r="L51" s="131" t="s">
        <v>103</v>
      </c>
      <c r="M51" s="142"/>
    </row>
    <row r="52" ht="22.5" customHeight="1">
      <c r="A52" s="131" t="s">
        <v>244</v>
      </c>
      <c r="B52" s="131" t="s">
        <v>148</v>
      </c>
      <c r="C52" s="131" t="s">
        <v>116</v>
      </c>
      <c r="D52" s="131" t="s">
        <v>131</v>
      </c>
      <c r="E52" s="131" t="s">
        <v>97</v>
      </c>
      <c r="F52" s="131" t="s">
        <v>125</v>
      </c>
      <c r="G52" s="131" t="s">
        <v>109</v>
      </c>
      <c r="H52" s="131" t="s">
        <v>100</v>
      </c>
      <c r="I52" s="131" t="s">
        <v>120</v>
      </c>
      <c r="J52" s="131" t="s">
        <v>112</v>
      </c>
      <c r="K52" s="131" t="s">
        <v>112</v>
      </c>
      <c r="L52" s="131" t="s">
        <v>121</v>
      </c>
      <c r="M52" s="142"/>
    </row>
    <row r="53" ht="22.5" customHeight="1">
      <c r="A53" s="131" t="s">
        <v>246</v>
      </c>
      <c r="B53" s="131" t="s">
        <v>94</v>
      </c>
      <c r="C53" s="131" t="s">
        <v>116</v>
      </c>
      <c r="D53" s="131" t="s">
        <v>96</v>
      </c>
      <c r="E53" s="131" t="s">
        <v>97</v>
      </c>
      <c r="F53" s="131" t="s">
        <v>119</v>
      </c>
      <c r="G53" s="131" t="s">
        <v>132</v>
      </c>
      <c r="H53" s="131" t="s">
        <v>126</v>
      </c>
      <c r="I53" s="131" t="s">
        <v>212</v>
      </c>
      <c r="J53" s="131" t="s">
        <v>112</v>
      </c>
      <c r="K53" s="131" t="s">
        <v>102</v>
      </c>
      <c r="L53" s="131" t="s">
        <v>139</v>
      </c>
      <c r="M53" s="142"/>
    </row>
    <row r="54" ht="22.5" customHeight="1">
      <c r="A54" s="131" t="s">
        <v>248</v>
      </c>
      <c r="B54" s="131" t="s">
        <v>106</v>
      </c>
      <c r="C54" s="131" t="s">
        <v>116</v>
      </c>
      <c r="D54" s="131" t="s">
        <v>96</v>
      </c>
      <c r="E54" s="131" t="s">
        <v>108</v>
      </c>
      <c r="F54" s="131" t="s">
        <v>125</v>
      </c>
      <c r="G54" s="131" t="s">
        <v>109</v>
      </c>
      <c r="H54" s="131" t="s">
        <v>153</v>
      </c>
      <c r="I54" s="131" t="s">
        <v>133</v>
      </c>
      <c r="J54" s="131" t="s">
        <v>102</v>
      </c>
      <c r="K54" s="131" t="s">
        <v>102</v>
      </c>
      <c r="L54" s="131" t="s">
        <v>142</v>
      </c>
      <c r="M54" s="142"/>
    </row>
    <row r="55" ht="22.5" customHeight="1">
      <c r="A55" s="131" t="s">
        <v>250</v>
      </c>
      <c r="B55" s="131" t="s">
        <v>152</v>
      </c>
      <c r="C55" s="131" t="s">
        <v>95</v>
      </c>
      <c r="D55" s="131" t="s">
        <v>117</v>
      </c>
      <c r="E55" s="131" t="s">
        <v>108</v>
      </c>
      <c r="F55" s="131" t="s">
        <v>125</v>
      </c>
      <c r="G55" s="131" t="s">
        <v>109</v>
      </c>
      <c r="H55" s="131" t="s">
        <v>156</v>
      </c>
      <c r="I55" s="131" t="s">
        <v>101</v>
      </c>
      <c r="J55" s="131" t="s">
        <v>112</v>
      </c>
      <c r="K55" s="131" t="s">
        <v>102</v>
      </c>
      <c r="L55" s="131" t="s">
        <v>165</v>
      </c>
      <c r="M55" s="142"/>
    </row>
    <row r="56" ht="22.5" customHeight="1">
      <c r="A56" s="131" t="s">
        <v>252</v>
      </c>
      <c r="B56" s="131" t="s">
        <v>106</v>
      </c>
      <c r="C56" s="131" t="s">
        <v>137</v>
      </c>
      <c r="D56" s="131" t="s">
        <v>96</v>
      </c>
      <c r="E56" s="131" t="s">
        <v>118</v>
      </c>
      <c r="F56" s="131" t="s">
        <v>119</v>
      </c>
      <c r="G56" s="131" t="s">
        <v>132</v>
      </c>
      <c r="H56" s="131" t="s">
        <v>100</v>
      </c>
      <c r="I56" s="131" t="s">
        <v>138</v>
      </c>
      <c r="J56" s="131" t="s">
        <v>102</v>
      </c>
      <c r="K56" s="131" t="s">
        <v>102</v>
      </c>
      <c r="L56" s="131" t="s">
        <v>139</v>
      </c>
      <c r="M56" s="142"/>
    </row>
    <row r="57" ht="22.5" customHeight="1">
      <c r="A57" s="131" t="s">
        <v>254</v>
      </c>
      <c r="B57" s="131" t="s">
        <v>152</v>
      </c>
      <c r="C57" s="131" t="s">
        <v>116</v>
      </c>
      <c r="D57" s="131" t="s">
        <v>131</v>
      </c>
      <c r="E57" s="131" t="s">
        <v>108</v>
      </c>
      <c r="F57" s="131" t="s">
        <v>119</v>
      </c>
      <c r="G57" s="131" t="s">
        <v>109</v>
      </c>
      <c r="H57" s="131" t="s">
        <v>153</v>
      </c>
      <c r="I57" s="131" t="s">
        <v>149</v>
      </c>
      <c r="J57" s="131" t="s">
        <v>112</v>
      </c>
      <c r="K57" s="131" t="s">
        <v>102</v>
      </c>
      <c r="L57" s="131" t="s">
        <v>139</v>
      </c>
      <c r="M57" s="142"/>
    </row>
    <row r="58" ht="22.5" customHeight="1">
      <c r="A58" s="131" t="s">
        <v>256</v>
      </c>
      <c r="B58" s="131" t="s">
        <v>106</v>
      </c>
      <c r="C58" s="131" t="s">
        <v>137</v>
      </c>
      <c r="D58" s="131" t="s">
        <v>96</v>
      </c>
      <c r="E58" s="131" t="s">
        <v>118</v>
      </c>
      <c r="F58" s="131" t="s">
        <v>125</v>
      </c>
      <c r="G58" s="131" t="s">
        <v>109</v>
      </c>
      <c r="H58" s="131" t="s">
        <v>153</v>
      </c>
      <c r="I58" s="131" t="s">
        <v>212</v>
      </c>
      <c r="J58" s="131" t="s">
        <v>112</v>
      </c>
      <c r="K58" s="131" t="s">
        <v>112</v>
      </c>
      <c r="L58" s="131" t="s">
        <v>142</v>
      </c>
      <c r="M58" s="142"/>
    </row>
    <row r="59" ht="22.5" customHeight="1">
      <c r="A59" s="131" t="s">
        <v>258</v>
      </c>
      <c r="B59" s="131" t="s">
        <v>124</v>
      </c>
      <c r="C59" s="131" t="s">
        <v>95</v>
      </c>
      <c r="D59" s="131" t="s">
        <v>107</v>
      </c>
      <c r="E59" s="131" t="s">
        <v>108</v>
      </c>
      <c r="F59" s="131" t="s">
        <v>98</v>
      </c>
      <c r="G59" s="131" t="s">
        <v>99</v>
      </c>
      <c r="H59" s="131" t="s">
        <v>100</v>
      </c>
      <c r="I59" s="131" t="s">
        <v>138</v>
      </c>
      <c r="J59" s="131" t="s">
        <v>102</v>
      </c>
      <c r="K59" s="131" t="s">
        <v>112</v>
      </c>
      <c r="L59" s="131" t="s">
        <v>142</v>
      </c>
      <c r="M59" s="142"/>
    </row>
    <row r="60" ht="22.5" customHeight="1">
      <c r="A60" s="131" t="s">
        <v>260</v>
      </c>
      <c r="B60" s="131" t="s">
        <v>148</v>
      </c>
      <c r="C60" s="131" t="s">
        <v>116</v>
      </c>
      <c r="D60" s="131" t="s">
        <v>96</v>
      </c>
      <c r="E60" s="131" t="s">
        <v>97</v>
      </c>
      <c r="F60" s="131" t="s">
        <v>98</v>
      </c>
      <c r="G60" s="131" t="s">
        <v>99</v>
      </c>
      <c r="H60" s="131" t="s">
        <v>156</v>
      </c>
      <c r="I60" s="131" t="s">
        <v>145</v>
      </c>
      <c r="J60" s="131" t="s">
        <v>102</v>
      </c>
      <c r="K60" s="131" t="s">
        <v>102</v>
      </c>
      <c r="L60" s="131" t="s">
        <v>142</v>
      </c>
      <c r="M60" s="142"/>
    </row>
    <row r="61" ht="22.5" customHeight="1">
      <c r="A61" s="131" t="s">
        <v>262</v>
      </c>
      <c r="B61" s="131" t="s">
        <v>94</v>
      </c>
      <c r="C61" s="131" t="s">
        <v>95</v>
      </c>
      <c r="D61" s="131" t="s">
        <v>96</v>
      </c>
      <c r="E61" s="131" t="s">
        <v>108</v>
      </c>
      <c r="F61" s="131" t="s">
        <v>98</v>
      </c>
      <c r="G61" s="131" t="s">
        <v>109</v>
      </c>
      <c r="H61" s="131" t="s">
        <v>100</v>
      </c>
      <c r="I61" s="131" t="s">
        <v>120</v>
      </c>
      <c r="J61" s="131" t="s">
        <v>111</v>
      </c>
      <c r="K61" s="131" t="s">
        <v>112</v>
      </c>
      <c r="L61" s="131" t="s">
        <v>165</v>
      </c>
      <c r="M61" s="142"/>
    </row>
    <row r="62" ht="22.5" customHeight="1">
      <c r="A62" s="131" t="s">
        <v>264</v>
      </c>
      <c r="B62" s="131" t="s">
        <v>152</v>
      </c>
      <c r="C62" s="131" t="s">
        <v>137</v>
      </c>
      <c r="D62" s="131" t="s">
        <v>96</v>
      </c>
      <c r="E62" s="131" t="s">
        <v>97</v>
      </c>
      <c r="F62" s="131" t="s">
        <v>98</v>
      </c>
      <c r="G62" s="131" t="s">
        <v>99</v>
      </c>
      <c r="H62" s="131" t="s">
        <v>153</v>
      </c>
      <c r="I62" s="131" t="s">
        <v>120</v>
      </c>
      <c r="J62" s="131" t="s">
        <v>112</v>
      </c>
      <c r="K62" s="131" t="s">
        <v>112</v>
      </c>
      <c r="L62" s="131" t="s">
        <v>103</v>
      </c>
      <c r="M62" s="142"/>
    </row>
    <row r="63" ht="22.5" customHeight="1">
      <c r="A63" s="131" t="s">
        <v>266</v>
      </c>
      <c r="B63" s="131" t="s">
        <v>148</v>
      </c>
      <c r="C63" s="131" t="s">
        <v>116</v>
      </c>
      <c r="D63" s="131" t="s">
        <v>107</v>
      </c>
      <c r="E63" s="131" t="s">
        <v>97</v>
      </c>
      <c r="F63" s="131" t="s">
        <v>98</v>
      </c>
      <c r="G63" s="131" t="s">
        <v>132</v>
      </c>
      <c r="H63" s="131" t="s">
        <v>156</v>
      </c>
      <c r="I63" s="131" t="s">
        <v>138</v>
      </c>
      <c r="J63" s="131" t="s">
        <v>102</v>
      </c>
      <c r="K63" s="131" t="s">
        <v>112</v>
      </c>
      <c r="L63" s="131" t="s">
        <v>128</v>
      </c>
      <c r="M63" s="142"/>
    </row>
    <row r="64" ht="22.5" customHeight="1">
      <c r="A64" s="131" t="s">
        <v>268</v>
      </c>
      <c r="B64" s="131" t="s">
        <v>148</v>
      </c>
      <c r="C64" s="131" t="s">
        <v>137</v>
      </c>
      <c r="D64" s="131" t="s">
        <v>117</v>
      </c>
      <c r="E64" s="131" t="s">
        <v>118</v>
      </c>
      <c r="F64" s="131" t="s">
        <v>119</v>
      </c>
      <c r="G64" s="131" t="s">
        <v>132</v>
      </c>
      <c r="H64" s="131" t="s">
        <v>153</v>
      </c>
      <c r="I64" s="131" t="s">
        <v>127</v>
      </c>
      <c r="J64" s="131" t="s">
        <v>111</v>
      </c>
      <c r="K64" s="131" t="s">
        <v>102</v>
      </c>
      <c r="L64" s="131" t="s">
        <v>128</v>
      </c>
      <c r="M64" s="142"/>
    </row>
    <row r="65" ht="22.5" customHeight="1">
      <c r="A65" s="131" t="s">
        <v>270</v>
      </c>
      <c r="B65" s="131" t="s">
        <v>106</v>
      </c>
      <c r="C65" s="131" t="s">
        <v>137</v>
      </c>
      <c r="D65" s="131" t="s">
        <v>107</v>
      </c>
      <c r="E65" s="131" t="s">
        <v>97</v>
      </c>
      <c r="F65" s="131" t="s">
        <v>98</v>
      </c>
      <c r="G65" s="131" t="s">
        <v>99</v>
      </c>
      <c r="H65" s="131" t="s">
        <v>100</v>
      </c>
      <c r="I65" s="131" t="s">
        <v>120</v>
      </c>
      <c r="J65" s="131" t="s">
        <v>112</v>
      </c>
      <c r="K65" s="131" t="s">
        <v>112</v>
      </c>
      <c r="L65" s="131" t="s">
        <v>165</v>
      </c>
      <c r="M65" s="142"/>
    </row>
    <row r="66" ht="22.5" customHeight="1">
      <c r="A66" s="131" t="s">
        <v>272</v>
      </c>
      <c r="B66" s="131" t="s">
        <v>124</v>
      </c>
      <c r="C66" s="131" t="s">
        <v>95</v>
      </c>
      <c r="D66" s="131" t="s">
        <v>131</v>
      </c>
      <c r="E66" s="131" t="s">
        <v>118</v>
      </c>
      <c r="F66" s="131" t="s">
        <v>125</v>
      </c>
      <c r="G66" s="131" t="s">
        <v>99</v>
      </c>
      <c r="H66" s="131" t="s">
        <v>153</v>
      </c>
      <c r="I66" s="131" t="s">
        <v>138</v>
      </c>
      <c r="J66" s="131" t="s">
        <v>112</v>
      </c>
      <c r="K66" s="131" t="s">
        <v>102</v>
      </c>
      <c r="L66" s="131" t="s">
        <v>139</v>
      </c>
      <c r="M66" s="142"/>
    </row>
    <row r="67" ht="22.5" customHeight="1">
      <c r="A67" s="131" t="s">
        <v>274</v>
      </c>
      <c r="B67" s="131" t="s">
        <v>94</v>
      </c>
      <c r="C67" s="131" t="s">
        <v>116</v>
      </c>
      <c r="D67" s="131" t="s">
        <v>131</v>
      </c>
      <c r="E67" s="131" t="s">
        <v>108</v>
      </c>
      <c r="F67" s="131" t="s">
        <v>98</v>
      </c>
      <c r="G67" s="131" t="s">
        <v>132</v>
      </c>
      <c r="H67" s="131" t="s">
        <v>100</v>
      </c>
      <c r="I67" s="131" t="s">
        <v>120</v>
      </c>
      <c r="J67" s="131" t="s">
        <v>102</v>
      </c>
      <c r="K67" s="131" t="s">
        <v>112</v>
      </c>
      <c r="L67" s="131" t="s">
        <v>142</v>
      </c>
      <c r="M67" s="142"/>
    </row>
    <row r="68" ht="22.5" customHeight="1">
      <c r="A68" s="131" t="s">
        <v>276</v>
      </c>
      <c r="B68" s="131" t="s">
        <v>152</v>
      </c>
      <c r="C68" s="131" t="s">
        <v>95</v>
      </c>
      <c r="D68" s="131" t="s">
        <v>117</v>
      </c>
      <c r="E68" s="131" t="s">
        <v>108</v>
      </c>
      <c r="F68" s="131" t="s">
        <v>119</v>
      </c>
      <c r="G68" s="131" t="s">
        <v>109</v>
      </c>
      <c r="H68" s="131" t="s">
        <v>156</v>
      </c>
      <c r="I68" s="131" t="s">
        <v>277</v>
      </c>
      <c r="J68" s="131" t="s">
        <v>111</v>
      </c>
      <c r="K68" s="131" t="s">
        <v>102</v>
      </c>
      <c r="L68" s="131" t="s">
        <v>139</v>
      </c>
      <c r="M68" s="142"/>
    </row>
    <row r="69" ht="22.5" customHeight="1">
      <c r="A69" s="131" t="s">
        <v>279</v>
      </c>
      <c r="B69" s="131" t="s">
        <v>124</v>
      </c>
      <c r="C69" s="131" t="s">
        <v>116</v>
      </c>
      <c r="D69" s="131" t="s">
        <v>96</v>
      </c>
      <c r="E69" s="131" t="s">
        <v>97</v>
      </c>
      <c r="F69" s="131" t="s">
        <v>98</v>
      </c>
      <c r="G69" s="131" t="s">
        <v>99</v>
      </c>
      <c r="H69" s="131" t="s">
        <v>100</v>
      </c>
      <c r="I69" s="131" t="s">
        <v>149</v>
      </c>
      <c r="J69" s="131" t="s">
        <v>112</v>
      </c>
      <c r="K69" s="131" t="s">
        <v>112</v>
      </c>
      <c r="L69" s="131" t="s">
        <v>142</v>
      </c>
      <c r="M69" s="142"/>
    </row>
    <row r="70" ht="22.5" customHeight="1">
      <c r="A70" s="131" t="s">
        <v>281</v>
      </c>
      <c r="B70" s="131" t="s">
        <v>106</v>
      </c>
      <c r="C70" s="131" t="s">
        <v>116</v>
      </c>
      <c r="D70" s="131" t="s">
        <v>117</v>
      </c>
      <c r="E70" s="131" t="s">
        <v>108</v>
      </c>
      <c r="F70" s="131" t="s">
        <v>119</v>
      </c>
      <c r="G70" s="131" t="s">
        <v>132</v>
      </c>
      <c r="H70" s="131" t="s">
        <v>100</v>
      </c>
      <c r="I70" s="131" t="s">
        <v>173</v>
      </c>
      <c r="J70" s="131" t="s">
        <v>112</v>
      </c>
      <c r="K70" s="131" t="s">
        <v>102</v>
      </c>
      <c r="L70" s="131" t="s">
        <v>134</v>
      </c>
      <c r="M70" s="142"/>
    </row>
    <row r="71" ht="22.5" customHeight="1">
      <c r="A71" s="131" t="s">
        <v>283</v>
      </c>
      <c r="B71" s="131" t="s">
        <v>124</v>
      </c>
      <c r="C71" s="131" t="s">
        <v>137</v>
      </c>
      <c r="D71" s="131" t="s">
        <v>117</v>
      </c>
      <c r="E71" s="131" t="s">
        <v>118</v>
      </c>
      <c r="F71" s="131" t="s">
        <v>125</v>
      </c>
      <c r="G71" s="131" t="s">
        <v>132</v>
      </c>
      <c r="H71" s="131" t="s">
        <v>100</v>
      </c>
      <c r="I71" s="131" t="s">
        <v>203</v>
      </c>
      <c r="J71" s="131" t="s">
        <v>112</v>
      </c>
      <c r="K71" s="131" t="s">
        <v>112</v>
      </c>
      <c r="L71" s="131" t="s">
        <v>103</v>
      </c>
      <c r="M71" s="142"/>
    </row>
    <row r="72" ht="22.5" customHeight="1">
      <c r="A72" s="131" t="s">
        <v>285</v>
      </c>
      <c r="B72" s="131" t="s">
        <v>152</v>
      </c>
      <c r="C72" s="131" t="s">
        <v>116</v>
      </c>
      <c r="D72" s="131" t="s">
        <v>107</v>
      </c>
      <c r="E72" s="131" t="s">
        <v>108</v>
      </c>
      <c r="F72" s="131" t="s">
        <v>125</v>
      </c>
      <c r="G72" s="131" t="s">
        <v>109</v>
      </c>
      <c r="H72" s="131" t="s">
        <v>100</v>
      </c>
      <c r="I72" s="131" t="s">
        <v>145</v>
      </c>
      <c r="J72" s="131" t="s">
        <v>111</v>
      </c>
      <c r="K72" s="131" t="s">
        <v>112</v>
      </c>
      <c r="L72" s="131" t="s">
        <v>165</v>
      </c>
      <c r="M72" s="142"/>
    </row>
    <row r="73" ht="22.5" customHeight="1">
      <c r="A73" s="131" t="s">
        <v>287</v>
      </c>
      <c r="B73" s="131" t="s">
        <v>94</v>
      </c>
      <c r="C73" s="131" t="s">
        <v>95</v>
      </c>
      <c r="D73" s="131" t="s">
        <v>96</v>
      </c>
      <c r="E73" s="131" t="s">
        <v>108</v>
      </c>
      <c r="F73" s="131" t="s">
        <v>98</v>
      </c>
      <c r="G73" s="131" t="s">
        <v>132</v>
      </c>
      <c r="H73" s="131" t="s">
        <v>153</v>
      </c>
      <c r="I73" s="131" t="s">
        <v>149</v>
      </c>
      <c r="J73" s="131" t="s">
        <v>111</v>
      </c>
      <c r="K73" s="131" t="s">
        <v>102</v>
      </c>
      <c r="L73" s="131" t="s">
        <v>134</v>
      </c>
      <c r="M73" s="142"/>
    </row>
    <row r="74" ht="22.5" customHeight="1">
      <c r="A74" s="131" t="s">
        <v>289</v>
      </c>
      <c r="B74" s="131" t="s">
        <v>124</v>
      </c>
      <c r="C74" s="131" t="s">
        <v>116</v>
      </c>
      <c r="D74" s="131" t="s">
        <v>107</v>
      </c>
      <c r="E74" s="131" t="s">
        <v>108</v>
      </c>
      <c r="F74" s="131" t="s">
        <v>119</v>
      </c>
      <c r="G74" s="131" t="s">
        <v>99</v>
      </c>
      <c r="H74" s="131" t="s">
        <v>126</v>
      </c>
      <c r="I74" s="131" t="s">
        <v>127</v>
      </c>
      <c r="J74" s="131" t="s">
        <v>102</v>
      </c>
      <c r="K74" s="131" t="s">
        <v>112</v>
      </c>
      <c r="L74" s="131" t="s">
        <v>142</v>
      </c>
      <c r="M74" s="142"/>
    </row>
    <row r="75" ht="22.5" customHeight="1">
      <c r="A75" s="131" t="s">
        <v>291</v>
      </c>
      <c r="B75" s="131" t="s">
        <v>148</v>
      </c>
      <c r="C75" s="131" t="s">
        <v>116</v>
      </c>
      <c r="D75" s="131" t="s">
        <v>96</v>
      </c>
      <c r="E75" s="131" t="s">
        <v>118</v>
      </c>
      <c r="F75" s="131" t="s">
        <v>119</v>
      </c>
      <c r="G75" s="131" t="s">
        <v>132</v>
      </c>
      <c r="H75" s="131" t="s">
        <v>163</v>
      </c>
      <c r="I75" s="131" t="s">
        <v>110</v>
      </c>
      <c r="J75" s="131" t="s">
        <v>102</v>
      </c>
      <c r="K75" s="131" t="s">
        <v>102</v>
      </c>
      <c r="L75" s="131" t="s">
        <v>103</v>
      </c>
      <c r="M75" s="142"/>
    </row>
    <row r="76" ht="22.5" customHeight="1">
      <c r="A76" s="131" t="s">
        <v>293</v>
      </c>
      <c r="B76" s="131" t="s">
        <v>124</v>
      </c>
      <c r="C76" s="131" t="s">
        <v>137</v>
      </c>
      <c r="D76" s="131" t="s">
        <v>96</v>
      </c>
      <c r="E76" s="131" t="s">
        <v>108</v>
      </c>
      <c r="F76" s="131" t="s">
        <v>119</v>
      </c>
      <c r="G76" s="131" t="s">
        <v>132</v>
      </c>
      <c r="H76" s="131" t="s">
        <v>100</v>
      </c>
      <c r="I76" s="131" t="s">
        <v>277</v>
      </c>
      <c r="J76" s="131" t="s">
        <v>112</v>
      </c>
      <c r="K76" s="131" t="s">
        <v>112</v>
      </c>
      <c r="L76" s="131" t="s">
        <v>121</v>
      </c>
      <c r="M76" s="142"/>
    </row>
    <row r="77" ht="22.5" customHeight="1">
      <c r="A77" s="131" t="s">
        <v>295</v>
      </c>
      <c r="B77" s="131" t="s">
        <v>124</v>
      </c>
      <c r="C77" s="131" t="s">
        <v>116</v>
      </c>
      <c r="D77" s="131" t="s">
        <v>117</v>
      </c>
      <c r="E77" s="131" t="s">
        <v>118</v>
      </c>
      <c r="F77" s="131" t="s">
        <v>119</v>
      </c>
      <c r="G77" s="131" t="s">
        <v>132</v>
      </c>
      <c r="H77" s="131" t="s">
        <v>100</v>
      </c>
      <c r="I77" s="131" t="s">
        <v>110</v>
      </c>
      <c r="J77" s="131" t="s">
        <v>102</v>
      </c>
      <c r="K77" s="131" t="s">
        <v>112</v>
      </c>
      <c r="L77" s="131" t="s">
        <v>165</v>
      </c>
      <c r="M77" s="142"/>
    </row>
    <row r="78" ht="22.5" customHeight="1">
      <c r="A78" s="131" t="s">
        <v>297</v>
      </c>
      <c r="B78" s="131" t="s">
        <v>152</v>
      </c>
      <c r="C78" s="131" t="s">
        <v>137</v>
      </c>
      <c r="D78" s="131" t="s">
        <v>131</v>
      </c>
      <c r="E78" s="131" t="s">
        <v>118</v>
      </c>
      <c r="F78" s="131" t="s">
        <v>98</v>
      </c>
      <c r="G78" s="131" t="s">
        <v>99</v>
      </c>
      <c r="H78" s="131" t="s">
        <v>100</v>
      </c>
      <c r="I78" s="131" t="s">
        <v>101</v>
      </c>
      <c r="J78" s="131" t="s">
        <v>102</v>
      </c>
      <c r="K78" s="131" t="s">
        <v>112</v>
      </c>
      <c r="L78" s="131" t="s">
        <v>113</v>
      </c>
      <c r="M78" s="142"/>
    </row>
    <row r="79" ht="22.5" customHeight="1">
      <c r="A79" s="131" t="s">
        <v>299</v>
      </c>
      <c r="B79" s="131" t="s">
        <v>106</v>
      </c>
      <c r="C79" s="131" t="s">
        <v>137</v>
      </c>
      <c r="D79" s="131" t="s">
        <v>131</v>
      </c>
      <c r="E79" s="131" t="s">
        <v>97</v>
      </c>
      <c r="F79" s="131" t="s">
        <v>119</v>
      </c>
      <c r="G79" s="131" t="s">
        <v>109</v>
      </c>
      <c r="H79" s="131" t="s">
        <v>100</v>
      </c>
      <c r="I79" s="131" t="s">
        <v>164</v>
      </c>
      <c r="J79" s="131" t="s">
        <v>102</v>
      </c>
      <c r="K79" s="131" t="s">
        <v>112</v>
      </c>
      <c r="L79" s="131" t="s">
        <v>139</v>
      </c>
      <c r="M79" s="142"/>
    </row>
    <row r="80" ht="22.5" customHeight="1">
      <c r="A80" s="131" t="s">
        <v>301</v>
      </c>
      <c r="B80" s="131" t="s">
        <v>124</v>
      </c>
      <c r="C80" s="131" t="s">
        <v>116</v>
      </c>
      <c r="D80" s="131" t="s">
        <v>117</v>
      </c>
      <c r="E80" s="131" t="s">
        <v>108</v>
      </c>
      <c r="F80" s="131" t="s">
        <v>98</v>
      </c>
      <c r="G80" s="131" t="s">
        <v>109</v>
      </c>
      <c r="H80" s="131" t="s">
        <v>163</v>
      </c>
      <c r="I80" s="131" t="s">
        <v>170</v>
      </c>
      <c r="J80" s="131" t="s">
        <v>102</v>
      </c>
      <c r="K80" s="131" t="s">
        <v>112</v>
      </c>
      <c r="L80" s="131" t="s">
        <v>103</v>
      </c>
      <c r="M80" s="142"/>
    </row>
    <row r="81" ht="22.5" customHeight="1">
      <c r="A81" s="131" t="s">
        <v>303</v>
      </c>
      <c r="B81" s="131" t="s">
        <v>94</v>
      </c>
      <c r="C81" s="131" t="s">
        <v>137</v>
      </c>
      <c r="D81" s="131" t="s">
        <v>131</v>
      </c>
      <c r="E81" s="131" t="s">
        <v>108</v>
      </c>
      <c r="F81" s="131" t="s">
        <v>119</v>
      </c>
      <c r="G81" s="131" t="s">
        <v>132</v>
      </c>
      <c r="H81" s="131" t="s">
        <v>100</v>
      </c>
      <c r="I81" s="131" t="s">
        <v>203</v>
      </c>
      <c r="J81" s="131" t="s">
        <v>112</v>
      </c>
      <c r="K81" s="131" t="s">
        <v>112</v>
      </c>
      <c r="L81" s="131" t="s">
        <v>139</v>
      </c>
      <c r="M81" s="142"/>
    </row>
    <row r="82" ht="22.5" customHeight="1">
      <c r="A82" s="131" t="s">
        <v>305</v>
      </c>
      <c r="B82" s="131" t="s">
        <v>106</v>
      </c>
      <c r="C82" s="131" t="s">
        <v>95</v>
      </c>
      <c r="D82" s="131" t="s">
        <v>117</v>
      </c>
      <c r="E82" s="131" t="s">
        <v>108</v>
      </c>
      <c r="F82" s="131" t="s">
        <v>125</v>
      </c>
      <c r="G82" s="131" t="s">
        <v>109</v>
      </c>
      <c r="H82" s="131" t="s">
        <v>100</v>
      </c>
      <c r="I82" s="131" t="s">
        <v>120</v>
      </c>
      <c r="J82" s="131" t="s">
        <v>111</v>
      </c>
      <c r="K82" s="131" t="s">
        <v>112</v>
      </c>
      <c r="L82" s="131" t="s">
        <v>128</v>
      </c>
      <c r="M82" s="142"/>
    </row>
    <row r="83" ht="22.5" customHeight="1">
      <c r="A83" s="131" t="s">
        <v>307</v>
      </c>
      <c r="B83" s="131" t="s">
        <v>152</v>
      </c>
      <c r="C83" s="131" t="s">
        <v>116</v>
      </c>
      <c r="D83" s="131" t="s">
        <v>131</v>
      </c>
      <c r="E83" s="131" t="s">
        <v>97</v>
      </c>
      <c r="F83" s="131" t="s">
        <v>119</v>
      </c>
      <c r="G83" s="131" t="s">
        <v>109</v>
      </c>
      <c r="H83" s="131" t="s">
        <v>100</v>
      </c>
      <c r="I83" s="131" t="s">
        <v>203</v>
      </c>
      <c r="J83" s="131" t="s">
        <v>112</v>
      </c>
      <c r="K83" s="131" t="s">
        <v>102</v>
      </c>
      <c r="L83" s="131" t="s">
        <v>103</v>
      </c>
      <c r="M83" s="142"/>
    </row>
    <row r="84" ht="22.5" customHeight="1">
      <c r="A84" s="131" t="s">
        <v>309</v>
      </c>
      <c r="B84" s="131" t="s">
        <v>152</v>
      </c>
      <c r="C84" s="131" t="s">
        <v>137</v>
      </c>
      <c r="D84" s="131" t="s">
        <v>96</v>
      </c>
      <c r="E84" s="131" t="s">
        <v>108</v>
      </c>
      <c r="F84" s="131" t="s">
        <v>119</v>
      </c>
      <c r="G84" s="131" t="s">
        <v>109</v>
      </c>
      <c r="H84" s="131" t="s">
        <v>100</v>
      </c>
      <c r="I84" s="131" t="s">
        <v>110</v>
      </c>
      <c r="J84" s="131" t="s">
        <v>112</v>
      </c>
      <c r="K84" s="131" t="s">
        <v>102</v>
      </c>
      <c r="L84" s="131" t="s">
        <v>128</v>
      </c>
      <c r="M84" s="142"/>
    </row>
    <row r="85" ht="22.5" customHeight="1">
      <c r="A85" s="131" t="s">
        <v>311</v>
      </c>
      <c r="B85" s="131" t="s">
        <v>152</v>
      </c>
      <c r="C85" s="131" t="s">
        <v>116</v>
      </c>
      <c r="D85" s="131" t="s">
        <v>96</v>
      </c>
      <c r="E85" s="131" t="s">
        <v>108</v>
      </c>
      <c r="F85" s="131" t="s">
        <v>119</v>
      </c>
      <c r="G85" s="131" t="s">
        <v>132</v>
      </c>
      <c r="H85" s="131" t="s">
        <v>156</v>
      </c>
      <c r="I85" s="131" t="s">
        <v>101</v>
      </c>
      <c r="J85" s="131" t="s">
        <v>112</v>
      </c>
      <c r="K85" s="131" t="s">
        <v>102</v>
      </c>
      <c r="L85" s="131" t="s">
        <v>113</v>
      </c>
      <c r="M85" s="142"/>
    </row>
    <row r="86" ht="22.5" customHeight="1">
      <c r="A86" s="131" t="s">
        <v>313</v>
      </c>
      <c r="B86" s="131" t="s">
        <v>148</v>
      </c>
      <c r="C86" s="131" t="s">
        <v>116</v>
      </c>
      <c r="D86" s="131" t="s">
        <v>117</v>
      </c>
      <c r="E86" s="131" t="s">
        <v>118</v>
      </c>
      <c r="F86" s="131" t="s">
        <v>98</v>
      </c>
      <c r="G86" s="131" t="s">
        <v>109</v>
      </c>
      <c r="H86" s="131" t="s">
        <v>100</v>
      </c>
      <c r="I86" s="131" t="s">
        <v>138</v>
      </c>
      <c r="J86" s="131" t="s">
        <v>111</v>
      </c>
      <c r="K86" s="131" t="s">
        <v>112</v>
      </c>
      <c r="L86" s="131" t="s">
        <v>134</v>
      </c>
      <c r="M86" s="142"/>
    </row>
    <row r="87" ht="22.5" customHeight="1">
      <c r="A87" s="131" t="s">
        <v>315</v>
      </c>
      <c r="B87" s="131" t="s">
        <v>94</v>
      </c>
      <c r="C87" s="131" t="s">
        <v>116</v>
      </c>
      <c r="D87" s="131" t="s">
        <v>107</v>
      </c>
      <c r="E87" s="131" t="s">
        <v>118</v>
      </c>
      <c r="F87" s="131" t="s">
        <v>119</v>
      </c>
      <c r="G87" s="131" t="s">
        <v>99</v>
      </c>
      <c r="H87" s="131" t="s">
        <v>100</v>
      </c>
      <c r="I87" s="131" t="s">
        <v>120</v>
      </c>
      <c r="J87" s="131" t="s">
        <v>112</v>
      </c>
      <c r="K87" s="131" t="s">
        <v>112</v>
      </c>
      <c r="L87" s="131" t="s">
        <v>139</v>
      </c>
      <c r="M87" s="142"/>
    </row>
    <row r="88" ht="22.5" customHeight="1">
      <c r="A88" s="131" t="s">
        <v>317</v>
      </c>
      <c r="B88" s="131" t="s">
        <v>106</v>
      </c>
      <c r="C88" s="131" t="s">
        <v>95</v>
      </c>
      <c r="D88" s="131" t="s">
        <v>131</v>
      </c>
      <c r="E88" s="131" t="s">
        <v>108</v>
      </c>
      <c r="F88" s="131" t="s">
        <v>119</v>
      </c>
      <c r="G88" s="131" t="s">
        <v>109</v>
      </c>
      <c r="H88" s="131" t="s">
        <v>156</v>
      </c>
      <c r="I88" s="131" t="s">
        <v>145</v>
      </c>
      <c r="J88" s="131" t="s">
        <v>112</v>
      </c>
      <c r="K88" s="131" t="s">
        <v>112</v>
      </c>
      <c r="L88" s="131" t="s">
        <v>121</v>
      </c>
      <c r="M88" s="142"/>
    </row>
    <row r="89" ht="22.5" customHeight="1">
      <c r="A89" s="131" t="s">
        <v>319</v>
      </c>
      <c r="B89" s="131" t="s">
        <v>94</v>
      </c>
      <c r="C89" s="131" t="s">
        <v>137</v>
      </c>
      <c r="D89" s="131" t="s">
        <v>107</v>
      </c>
      <c r="E89" s="131" t="s">
        <v>97</v>
      </c>
      <c r="F89" s="131" t="s">
        <v>98</v>
      </c>
      <c r="G89" s="131" t="s">
        <v>132</v>
      </c>
      <c r="H89" s="131" t="s">
        <v>153</v>
      </c>
      <c r="I89" s="131" t="s">
        <v>203</v>
      </c>
      <c r="J89" s="131" t="s">
        <v>102</v>
      </c>
      <c r="K89" s="131" t="s">
        <v>112</v>
      </c>
      <c r="L89" s="131" t="s">
        <v>103</v>
      </c>
      <c r="M89" s="142"/>
    </row>
    <row r="90" ht="22.5" customHeight="1">
      <c r="A90" s="131" t="s">
        <v>321</v>
      </c>
      <c r="B90" s="131" t="s">
        <v>152</v>
      </c>
      <c r="C90" s="131" t="s">
        <v>137</v>
      </c>
      <c r="D90" s="131" t="s">
        <v>96</v>
      </c>
      <c r="E90" s="131" t="s">
        <v>108</v>
      </c>
      <c r="F90" s="131" t="s">
        <v>119</v>
      </c>
      <c r="G90" s="131" t="s">
        <v>132</v>
      </c>
      <c r="H90" s="131" t="s">
        <v>100</v>
      </c>
      <c r="I90" s="131" t="s">
        <v>138</v>
      </c>
      <c r="J90" s="131" t="s">
        <v>112</v>
      </c>
      <c r="K90" s="131" t="s">
        <v>102</v>
      </c>
      <c r="L90" s="131" t="s">
        <v>121</v>
      </c>
      <c r="M90" s="142"/>
    </row>
    <row r="91" ht="22.5" customHeight="1">
      <c r="A91" s="131" t="s">
        <v>323</v>
      </c>
      <c r="B91" s="131" t="s">
        <v>148</v>
      </c>
      <c r="C91" s="131" t="s">
        <v>95</v>
      </c>
      <c r="D91" s="131" t="s">
        <v>107</v>
      </c>
      <c r="E91" s="131" t="s">
        <v>108</v>
      </c>
      <c r="F91" s="131" t="s">
        <v>119</v>
      </c>
      <c r="G91" s="131" t="s">
        <v>132</v>
      </c>
      <c r="H91" s="131" t="s">
        <v>156</v>
      </c>
      <c r="I91" s="131" t="s">
        <v>149</v>
      </c>
      <c r="J91" s="131" t="s">
        <v>102</v>
      </c>
      <c r="K91" s="131" t="s">
        <v>102</v>
      </c>
      <c r="L91" s="131" t="s">
        <v>142</v>
      </c>
      <c r="M91" s="142"/>
    </row>
    <row r="92" ht="22.5" customHeight="1">
      <c r="A92" s="131" t="s">
        <v>325</v>
      </c>
      <c r="B92" s="131" t="s">
        <v>152</v>
      </c>
      <c r="C92" s="131" t="s">
        <v>95</v>
      </c>
      <c r="D92" s="131" t="s">
        <v>107</v>
      </c>
      <c r="E92" s="131" t="s">
        <v>97</v>
      </c>
      <c r="F92" s="131" t="s">
        <v>125</v>
      </c>
      <c r="G92" s="131" t="s">
        <v>99</v>
      </c>
      <c r="H92" s="131" t="s">
        <v>153</v>
      </c>
      <c r="I92" s="131" t="s">
        <v>164</v>
      </c>
      <c r="J92" s="131" t="s">
        <v>111</v>
      </c>
      <c r="K92" s="131" t="s">
        <v>102</v>
      </c>
      <c r="L92" s="131" t="s">
        <v>139</v>
      </c>
      <c r="M92" s="142"/>
    </row>
    <row r="93" ht="22.5" customHeight="1">
      <c r="A93" s="131" t="s">
        <v>327</v>
      </c>
      <c r="B93" s="131" t="s">
        <v>94</v>
      </c>
      <c r="C93" s="131" t="s">
        <v>137</v>
      </c>
      <c r="D93" s="131" t="s">
        <v>117</v>
      </c>
      <c r="E93" s="131" t="s">
        <v>118</v>
      </c>
      <c r="F93" s="131" t="s">
        <v>98</v>
      </c>
      <c r="G93" s="131" t="s">
        <v>109</v>
      </c>
      <c r="H93" s="131" t="s">
        <v>163</v>
      </c>
      <c r="I93" s="131" t="s">
        <v>277</v>
      </c>
      <c r="J93" s="131" t="s">
        <v>112</v>
      </c>
      <c r="K93" s="131" t="s">
        <v>102</v>
      </c>
      <c r="L93" s="131" t="s">
        <v>121</v>
      </c>
      <c r="M93" s="142"/>
    </row>
    <row r="94" ht="22.5" customHeight="1">
      <c r="A94" s="131" t="s">
        <v>329</v>
      </c>
      <c r="B94" s="131" t="s">
        <v>148</v>
      </c>
      <c r="C94" s="131" t="s">
        <v>116</v>
      </c>
      <c r="D94" s="131" t="s">
        <v>96</v>
      </c>
      <c r="E94" s="131" t="s">
        <v>97</v>
      </c>
      <c r="F94" s="131" t="s">
        <v>119</v>
      </c>
      <c r="G94" s="131" t="s">
        <v>99</v>
      </c>
      <c r="H94" s="131" t="s">
        <v>126</v>
      </c>
      <c r="I94" s="131" t="s">
        <v>127</v>
      </c>
      <c r="J94" s="131" t="s">
        <v>102</v>
      </c>
      <c r="K94" s="131" t="s">
        <v>102</v>
      </c>
      <c r="L94" s="131" t="s">
        <v>113</v>
      </c>
      <c r="M94" s="142"/>
    </row>
    <row r="95" ht="22.5" customHeight="1">
      <c r="A95" s="131" t="s">
        <v>331</v>
      </c>
      <c r="B95" s="131" t="s">
        <v>124</v>
      </c>
      <c r="C95" s="131" t="s">
        <v>95</v>
      </c>
      <c r="D95" s="131" t="s">
        <v>131</v>
      </c>
      <c r="E95" s="131" t="s">
        <v>108</v>
      </c>
      <c r="F95" s="131" t="s">
        <v>98</v>
      </c>
      <c r="G95" s="131" t="s">
        <v>99</v>
      </c>
      <c r="H95" s="131" t="s">
        <v>100</v>
      </c>
      <c r="I95" s="131" t="s">
        <v>138</v>
      </c>
      <c r="J95" s="131" t="s">
        <v>112</v>
      </c>
      <c r="K95" s="131" t="s">
        <v>102</v>
      </c>
      <c r="L95" s="131" t="s">
        <v>113</v>
      </c>
      <c r="M95" s="142"/>
    </row>
    <row r="96" ht="22.5" customHeight="1">
      <c r="A96" s="131" t="s">
        <v>333</v>
      </c>
      <c r="B96" s="131" t="s">
        <v>124</v>
      </c>
      <c r="C96" s="131" t="s">
        <v>95</v>
      </c>
      <c r="D96" s="131" t="s">
        <v>131</v>
      </c>
      <c r="E96" s="131" t="s">
        <v>108</v>
      </c>
      <c r="F96" s="131" t="s">
        <v>119</v>
      </c>
      <c r="G96" s="131" t="s">
        <v>109</v>
      </c>
      <c r="H96" s="131" t="s">
        <v>100</v>
      </c>
      <c r="I96" s="131" t="s">
        <v>138</v>
      </c>
      <c r="J96" s="131" t="s">
        <v>102</v>
      </c>
      <c r="K96" s="131" t="s">
        <v>112</v>
      </c>
      <c r="L96" s="131" t="s">
        <v>128</v>
      </c>
      <c r="M96" s="142"/>
    </row>
  </sheetData>
  <dataValidations>
    <dataValidation allowBlank="1" showDropDown="1" sqref="B2:H96 J2:K96"/>
  </dataValidations>
  <drawing r:id="rId1"/>
  <tableParts count="1">
    <tablePart r:id="rId3"/>
  </tableParts>
</worksheet>
</file>